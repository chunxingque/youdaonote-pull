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声律" r:id="rId3" sheetId="1"/>
    <sheet name="洒扫" r:id="rId4" sheetId="2"/>
    <sheet name="运动" r:id="rId5" sheetId="3"/>
    <sheet name="作息" r:id="rId6" sheetId="4"/>
    <sheet name="饮食" r:id="rId7" sheetId="5"/>
    <sheet name="治情&amp;战拖" r:id="rId8" sheetId="6"/>
    <sheet name="戒断与习惯" r:id="rId9" sheetId="7"/>
    <sheet name="个人现有得分汇总" r:id="rId10" sheetId="8" state="hidden"/>
    <sheet name="注疏得分表" r:id="rId11" sheetId="9"/>
    <sheet name="工作表10" r:id="rId12" sheetId="10"/>
    <sheet name="工作表11" r:id="rId13" sheetId="11"/>
  </sheets>
  <calcPr calcId="0"/>
</workbook>
</file>

<file path=xl/comments2.xml><?xml version="1.0" encoding="utf-8"?>
<comments xmlns="http://schemas.openxmlformats.org/spreadsheetml/2006/main">
  <authors>
    <author/>
  </authors>
  <commentList>
    <comment ref="H27" authorId="0">
      <text>
        <r>
          <rPr>
            <rFont val="等线"/>
            <scheme val="minor"/>
            <sz val="12.0"/>
            <color rgb="000000"/>
          </rPr>
          <t xml:space="preserve">孟斐:
赞！
-------------------------
</t>
        </r>
      </text>
    </comment>
  </commentList>
</comments>
</file>

<file path=xl/comments3.xml><?xml version="1.0" encoding="utf-8"?>
<comments xmlns="http://schemas.openxmlformats.org/spreadsheetml/2006/main">
  <authors>
    <author/>
  </authors>
  <commentList>
    <comment ref="H22" authorId="0">
      <text>
        <r>
          <rPr>
            <rFont val="等线"/>
            <scheme val="minor"/>
            <sz val="12.0"/>
            <color rgb="000000"/>
          </rPr>
          <t xml:space="preserve">孟斐:
俯卧撑好厉害！
-------------------------
</t>
        </r>
      </text>
    </comment>
    <comment ref="G23" authorId="0">
      <text>
        <r>
          <rPr>
            <rFont val="等线"/>
            <scheme val="minor"/>
            <sz val="12.0"/>
            <color rgb="000000"/>
          </rPr>
          <t xml:space="preserve">孟斐:
有点猛啊！
-------------------------
</t>
        </r>
      </text>
    </comment>
    <comment ref="J41" authorId="0">
      <text>
        <r>
          <rPr>
            <rFont val="等线"/>
            <scheme val="minor"/>
            <sz val="12.0"/>
            <color rgb="000000"/>
          </rPr>
          <t xml:space="preserve">孟斐:
可以适当增加一些力量训练，这样搭配起来体质提升会更好
-------------------------
</t>
        </r>
      </text>
    </comment>
  </commentList>
</comments>
</file>

<file path=xl/sharedStrings.xml><?xml version="1.0" encoding="utf-8"?>
<sst xmlns="http://schemas.openxmlformats.org/spreadsheetml/2006/main" count="4438" uniqueCount="1545">
  <si>
    <t>日期</t>
  </si>
  <si>
    <t>星期</t>
  </si>
  <si>
    <t>孟斐</t>
  </si>
  <si>
    <t>程斌</t>
  </si>
  <si>
    <t>卢嘉伟</t>
  </si>
  <si>
    <t>周一</t>
  </si>
  <si>
    <t>没读</t>
  </si>
  <si>
    <t>周二</t>
  </si>
  <si>
    <t>五微六鱼</t>
  </si>
  <si>
    <t>周三</t>
  </si>
  <si>
    <t>一东二冬</t>
  </si>
  <si>
    <t>七虞八齐</t>
  </si>
  <si>
    <t>周四</t>
  </si>
  <si>
    <t>九佳十灰</t>
  </si>
  <si>
    <t>三四</t>
  </si>
  <si>
    <t>周五</t>
  </si>
  <si>
    <t>周六</t>
  </si>
  <si>
    <t>十一真十二文</t>
  </si>
  <si>
    <t>一二</t>
  </si>
  <si>
    <t>周日</t>
  </si>
  <si>
    <t>十三元十四寒</t>
  </si>
  <si>
    <t>项目</t>
  </si>
  <si>
    <t>挑战内容</t>
  </si>
  <si>
    <t>周挑战成功标准</t>
  </si>
  <si>
    <t>声律</t>
  </si>
  <si>
    <t>每天读两篇《声律启蒙》，放慢速度，吐字清晰的傻念。</t>
  </si>
  <si>
    <t>四天达标</t>
  </si>
  <si>
    <t>请主动标注</t>
  </si>
  <si>
    <t>成功标注蓝色</t>
  </si>
  <si>
    <t>不达标标注红色</t>
  </si>
  <si>
    <t>历史活动记录                                 历史活动记录                                           历史活动记录                                                           历史活动记录                                              历史活动记录                                            历史活动记录</t>
  </si>
  <si>
    <t>方秋宇</t>
  </si>
  <si>
    <t>杨瀚博</t>
  </si>
  <si>
    <t>张重言</t>
  </si>
  <si>
    <t>崔巍</t>
  </si>
  <si>
    <t>李照</t>
  </si>
  <si>
    <t>周梓钦</t>
  </si>
  <si>
    <t>一东、二冬</t>
  </si>
  <si>
    <t>一东，二冬，三江，四支</t>
  </si>
  <si>
    <t>一东，二冬</t>
  </si>
  <si>
    <t>三江四支</t>
  </si>
  <si>
    <t>三江、四支</t>
  </si>
  <si>
    <t>五微，六鱼，七虞</t>
  </si>
  <si>
    <t>一东，二冬，三江
，四支</t>
  </si>
  <si>
    <t>三江，四支</t>
  </si>
  <si>
    <t>一东，二冬，三江</t>
  </si>
  <si>
    <t>五微、六鱼</t>
  </si>
  <si>
    <t>八齐，九佳，十灰</t>
  </si>
  <si>
    <t>五微，六鱼</t>
  </si>
  <si>
    <t>劝学 四支</t>
  </si>
  <si>
    <t>七虞、八齐</t>
  </si>
  <si>
    <t>十一真，十二文</t>
  </si>
  <si>
    <t>七虞，八齐</t>
  </si>
  <si>
    <t>一东</t>
  </si>
  <si>
    <t>九佳、十灰</t>
  </si>
  <si>
    <t>十三元，十四寒</t>
  </si>
  <si>
    <t>九佳，十灰</t>
  </si>
  <si>
    <t>四支五微 六鱼 七虞</t>
  </si>
  <si>
    <t>二冬、三江</t>
  </si>
  <si>
    <t>四 支、五 微</t>
  </si>
  <si>
    <t>八齐，九佳</t>
  </si>
  <si>
    <t>六 鱼、七 虞</t>
  </si>
  <si>
    <t>挑战成功，全勤！</t>
  </si>
  <si>
    <t>挑战成功!</t>
  </si>
  <si>
    <t>挑战失败（第一天少读一篇）</t>
  </si>
  <si>
    <t>劝学</t>
  </si>
  <si>
    <t>十一真、十二文</t>
  </si>
  <si>
    <t>八齐、九佳</t>
  </si>
  <si>
    <t>十灰、十一真</t>
  </si>
  <si>
    <t>十三、十四</t>
  </si>
  <si>
    <t>十二文、十三元</t>
  </si>
  <si>
    <t>十五、一</t>
  </si>
  <si>
    <t>十四寒、十五删</t>
  </si>
  <si>
    <t>十三元、十四寒</t>
  </si>
  <si>
    <t>一先、二萧</t>
  </si>
  <si>
    <t>未参加</t>
  </si>
  <si>
    <t>挑战失败</t>
  </si>
  <si>
    <t>十五删、一先</t>
  </si>
  <si>
    <t>十灰，十一真，十二文</t>
  </si>
  <si>
    <t>三肴  四豪</t>
  </si>
  <si>
    <t>四支、五微</t>
  </si>
  <si>
    <t>五歌  六麻</t>
  </si>
  <si>
    <t>五、六</t>
  </si>
  <si>
    <t>七阳  八庚</t>
  </si>
  <si>
    <t>一 二</t>
  </si>
  <si>
    <t>（下）15咸，14盐，13覃</t>
  </si>
  <si>
    <t>九青  十蒸</t>
  </si>
  <si>
    <t>十一尤  十二侵</t>
  </si>
  <si>
    <t>十三覃  十四盐</t>
  </si>
  <si>
    <t>十五咸  &lt;完结&gt;</t>
  </si>
  <si>
    <t>星期一</t>
  </si>
  <si>
    <t>一东 二冬</t>
  </si>
  <si>
    <t>星期二</t>
  </si>
  <si>
    <t>七虞 八齐</t>
  </si>
  <si>
    <t>星期三</t>
  </si>
  <si>
    <t>十四、十五</t>
  </si>
  <si>
    <t>星期四</t>
  </si>
  <si>
    <t>忘了 -_-||</t>
  </si>
  <si>
    <t>星期五</t>
  </si>
  <si>
    <t>忘了-_-||</t>
  </si>
  <si>
    <t>星期六</t>
  </si>
  <si>
    <t>星期日</t>
  </si>
  <si>
    <t>姓名</t>
  </si>
  <si>
    <t>周滢瑶</t>
  </si>
  <si>
    <t>二萧三肴</t>
  </si>
  <si>
    <t>三江 四支</t>
  </si>
  <si>
    <t>四豪五歌</t>
  </si>
  <si>
    <t>六麻七阳</t>
  </si>
  <si>
    <t>休息</t>
  </si>
  <si>
    <t>八庚九青</t>
  </si>
  <si>
    <t>八齐 九佳</t>
  </si>
  <si>
    <t>十蒸十一尤</t>
  </si>
  <si>
    <t>十二侵十三覃</t>
  </si>
  <si>
    <t>十四盐十五咸</t>
  </si>
  <si>
    <t>挑战成功！</t>
  </si>
  <si>
    <t>挑战失败！再接再厉</t>
  </si>
  <si>
    <t>本周得分</t>
  </si>
  <si>
    <t>梁龙维</t>
  </si>
  <si>
    <t>无</t>
  </si>
  <si>
    <t>一先 二 萧</t>
  </si>
  <si>
    <t>十五删一先</t>
  </si>
  <si>
    <t>五歌六麻</t>
  </si>
  <si>
    <t>四支 五微</t>
  </si>
  <si>
    <t>六鱼七虞</t>
  </si>
  <si>
    <t>八齐九佳</t>
  </si>
  <si>
    <t>十灰 十一真</t>
  </si>
  <si>
    <t>两篇</t>
  </si>
  <si>
    <t>挑战成功</t>
  </si>
  <si>
    <t>扫地 拖地 刷碗</t>
  </si>
  <si>
    <t>洗碗洗锅擦桌子</t>
  </si>
  <si>
    <t xml:space="preserve">扫地 刷碗 </t>
  </si>
  <si>
    <t>扫地 刷碗 拖地</t>
  </si>
  <si>
    <t>洗碗洗锅擦桌子吸尘</t>
  </si>
  <si>
    <t>项目说明</t>
  </si>
  <si>
    <t>成功标准</t>
  </si>
  <si>
    <t>洒扫（整理）</t>
  </si>
  <si>
    <t>可选桌面、书架、衣柜、床铺，扫地拖地，刷碗、洗锅，手洗衣服，还有电脑手机里的文件照片，每天整理总时长10分钟以上</t>
  </si>
  <si>
    <t>三天达标，每两次间隔不超过三天</t>
  </si>
  <si>
    <t>扫地拖地刷碗</t>
  </si>
  <si>
    <t>洗碗擦灶台桌子</t>
  </si>
  <si>
    <t>擦窗台书桌，
地板吸尘</t>
  </si>
  <si>
    <t>扫地，洗碗</t>
  </si>
  <si>
    <t>打扫屋子，拖拖地</t>
  </si>
  <si>
    <t>扫地拖地，刷马桶洗碗</t>
  </si>
  <si>
    <t>擦洗洗手台</t>
  </si>
  <si>
    <t>扫地拖地洗碗</t>
  </si>
  <si>
    <t>整理书桌</t>
  </si>
  <si>
    <t>清理书橱</t>
  </si>
  <si>
    <t>扫地拖地整理书桌</t>
  </si>
  <si>
    <t>清理电脑</t>
  </si>
  <si>
    <t>生活物品整理</t>
  </si>
  <si>
    <t>擦窗台，整理书桌</t>
  </si>
  <si>
    <t>拖地</t>
  </si>
  <si>
    <t>扫地拖地</t>
  </si>
  <si>
    <t>拖地洗碗擦灶台桌子</t>
  </si>
  <si>
    <t>扫地</t>
  </si>
  <si>
    <t>扫地 刷碗</t>
  </si>
  <si>
    <t>擦窗台，清理电脑</t>
  </si>
  <si>
    <t>吸地板</t>
  </si>
  <si>
    <t>书桌台面清空</t>
  </si>
  <si>
    <t>整理书桌，掸土</t>
  </si>
  <si>
    <t>实验室台面排序</t>
  </si>
  <si>
    <t>刷碗 扫地 擦窗台桌子</t>
  </si>
  <si>
    <t>刷碗 扫地 擦地</t>
  </si>
  <si>
    <t>刷碗 扫地 洗衣服</t>
  </si>
  <si>
    <t>刷碗 扫地 擦桌子</t>
  </si>
  <si>
    <t>刷碗 扫地</t>
  </si>
  <si>
    <t>任明德</t>
  </si>
  <si>
    <t>扫地 刷碗 洗衣服</t>
  </si>
  <si>
    <t>整理自己高中时的书籍</t>
  </si>
  <si>
    <t>打扫书桌</t>
  </si>
  <si>
    <t>收拾书桌</t>
  </si>
  <si>
    <t>洗碗</t>
  </si>
  <si>
    <t>整理房间</t>
  </si>
  <si>
    <t>整理书桌，擦窗台</t>
  </si>
  <si>
    <t>酒店收拾东西</t>
  </si>
  <si>
    <t>扫地 刷碗 擦桌子</t>
  </si>
  <si>
    <t>扫地刷碗</t>
  </si>
  <si>
    <t>擦桌子阳台家具</t>
  </si>
  <si>
    <t>收拾整理搞清洁</t>
  </si>
  <si>
    <t>整理卧室</t>
  </si>
  <si>
    <t>洗碗洗锅吸尘</t>
  </si>
  <si>
    <t>刷碗 扫地 拖地 洗衣服</t>
  </si>
  <si>
    <t>整理书桌，收拾垃圾</t>
  </si>
  <si>
    <t>整理床铺，整理
桌面文件，整理笔
记本</t>
  </si>
  <si>
    <t>没做</t>
  </si>
  <si>
    <t>刷碗 扫地 拖地 擦桌子</t>
  </si>
  <si>
    <t>整理电脑文件，整理ink位置</t>
  </si>
  <si>
    <t>打扫房间</t>
  </si>
  <si>
    <t>整理ipad文件，
整理书桌</t>
  </si>
  <si>
    <t>整理房间 扫地 刷碗 洗衣服</t>
  </si>
  <si>
    <t>洗碗洗锅擦桌子拖地</t>
  </si>
  <si>
    <t>擦扫笔记本电脑
Ipad</t>
  </si>
  <si>
    <t>整理电脑文件</t>
  </si>
  <si>
    <t>扫地 刷碗 处理食材</t>
  </si>
  <si>
    <t>擦窗台，吸地板</t>
  </si>
  <si>
    <t>扫地 刷碗 擦窗台</t>
  </si>
  <si>
    <t>洗衣服</t>
  </si>
  <si>
    <t>得分</t>
  </si>
  <si>
    <t>扫地 拖地 洗碗 擦窗台 桌子 刷马桶</t>
  </si>
  <si>
    <t>整理行李，准备出发</t>
  </si>
  <si>
    <t>吸尘，清理电脑文件</t>
  </si>
  <si>
    <t>洗碗洗锅擦桌子打扫房间</t>
  </si>
  <si>
    <t>收拾行李</t>
  </si>
  <si>
    <t>收拾房间</t>
  </si>
  <si>
    <t>扫地 刷碗洗锅 擦桌子</t>
  </si>
  <si>
    <t>整理宿舍</t>
  </si>
  <si>
    <t>收拾行李，收拾床铺</t>
  </si>
  <si>
    <t>刷碗洗锅 擦桌子</t>
  </si>
  <si>
    <t>收拾打扫寝室</t>
  </si>
  <si>
    <t>刷碗 擦桌子 刷锅</t>
  </si>
  <si>
    <t>刷碗 擦桌子 刷锅 扫地</t>
  </si>
  <si>
    <t>收拾桌面</t>
  </si>
  <si>
    <t>整理桌面，打扫寝室卫生</t>
  </si>
  <si>
    <t>游泳30min</t>
  </si>
  <si>
    <t>热身+下肢+核心，30min</t>
  </si>
  <si>
    <t>篮球40min</t>
  </si>
  <si>
    <t>没达到30min</t>
  </si>
  <si>
    <t>拉伸 俯卧撑  卷腹 30min</t>
  </si>
  <si>
    <t>篮球30min</t>
  </si>
  <si>
    <t>篮球1h</t>
  </si>
  <si>
    <t>篮球50min</t>
  </si>
  <si>
    <t>内容</t>
  </si>
  <si>
    <t>运动</t>
  </si>
  <si>
    <t>每天运动至少半小时。</t>
  </si>
  <si>
    <t>打卡要求</t>
  </si>
  <si>
    <t>每周运动3次，间断不超过三天，每天半小时以上。</t>
  </si>
  <si>
    <t>崔巍（应该没空吧，随缘啦）</t>
  </si>
  <si>
    <t>张海洋</t>
  </si>
  <si>
    <t>陈子豪</t>
  </si>
  <si>
    <t>匡燕平</t>
  </si>
  <si>
    <t>拉伸，腿部力量强化练习。总时长不够30min</t>
  </si>
  <si>
    <t>练武术40min</t>
  </si>
  <si>
    <t>今日，从山下实验室走回宿舍，无额外运动</t>
  </si>
  <si>
    <t>运球训练30分钟+俯卧撑40×2组</t>
  </si>
  <si>
    <t>今天外面刮大风，没跑步</t>
  </si>
  <si>
    <t>跑步20min左右</t>
  </si>
  <si>
    <t>拉伸，强化拉伸，腿部强化，4km 慢跑+ 1km快速跑，1h左右</t>
  </si>
  <si>
    <t>热身+HIIT+拉伸，40min</t>
  </si>
  <si>
    <t>武术40min</t>
  </si>
  <si>
    <t>昨晚操场散步转圈30min，冲刺2圈4min</t>
  </si>
  <si>
    <t>胸肌腹肌
一个小时，
有氧1个小时</t>
  </si>
  <si>
    <t>负重前行2km</t>
  </si>
  <si>
    <t>拉伸10分钟
俯卧撑两组10分钟
卷腹深蹲各5分钟</t>
  </si>
  <si>
    <t>拉伸，腿部力量，胸肌八分钟，腹肌八分钟，深蹲100,1h</t>
  </si>
  <si>
    <t>背，上臂50分钟</t>
  </si>
  <si>
    <t>慢跑35min</t>
  </si>
  <si>
    <t>打篮球1h</t>
  </si>
  <si>
    <t>跑步十多分钟</t>
  </si>
  <si>
    <t>拉伸，腿部力量，4km, 1h</t>
  </si>
  <si>
    <t>热身+HIIT，30min</t>
  </si>
  <si>
    <t>武术50min</t>
  </si>
  <si>
    <t>背，腹共一小时</t>
  </si>
  <si>
    <t>晚上快走31min</t>
  </si>
  <si>
    <t>走了不知多久，忘记计时</t>
  </si>
  <si>
    <t>全身体能锻炼1小时</t>
  </si>
  <si>
    <t>武术20min</t>
  </si>
  <si>
    <t>练运球30min</t>
  </si>
  <si>
    <t>跑步30min</t>
  </si>
  <si>
    <t>全身体能锻炼40分钟</t>
  </si>
  <si>
    <t>拉伸，腿部力量，散步3km，30min</t>
  </si>
  <si>
    <t>热身+腿+核心+拉伸，45min</t>
  </si>
  <si>
    <t>走路超过30min</t>
  </si>
  <si>
    <t>腹肌八分钟，胸肌八分钟，深蹲 30min</t>
  </si>
  <si>
    <t>今天有事，没有锻炼我😭了</t>
  </si>
  <si>
    <t>跑步超过30min</t>
  </si>
  <si>
    <t>挑战失败！</t>
  </si>
  <si>
    <t>拉伸 腿部力量 跑步 30min</t>
  </si>
  <si>
    <t>武术10min</t>
  </si>
  <si>
    <t>跑步+走路约40min</t>
  </si>
  <si>
    <t>俯卧撑+腹肌+全身=40min</t>
  </si>
  <si>
    <t>全身HIIT，15min</t>
  </si>
  <si>
    <t>武术30min</t>
  </si>
  <si>
    <t>跑步+走路约35min</t>
  </si>
  <si>
    <t>俯卧撑+腹肌+全身=30min</t>
  </si>
  <si>
    <t>拉伸 腿部力量 散步 30min</t>
  </si>
  <si>
    <t>跑步+走路约50min</t>
  </si>
  <si>
    <t>同上30min</t>
  </si>
  <si>
    <t>腿部</t>
  </si>
  <si>
    <t>今天没跑</t>
  </si>
  <si>
    <t>连续三天不运动的话就失败咯</t>
  </si>
  <si>
    <t xml:space="preserve">跑步30min
</t>
  </si>
  <si>
    <t>跑步+走路约100min</t>
  </si>
  <si>
    <t>拉伸 腿部力量 跑步 40min</t>
  </si>
  <si>
    <t>热身+胸+腹，40 min</t>
  </si>
  <si>
    <t>走路7.69km，107min</t>
  </si>
  <si>
    <t>跑步 散步 50min</t>
  </si>
  <si>
    <t>没有运动</t>
  </si>
  <si>
    <t>走路104min</t>
  </si>
  <si>
    <t>拉伸 腿部力量 散步 50min</t>
  </si>
  <si>
    <t>热身+HIIT+拉伸，25min</t>
  </si>
  <si>
    <t>走路88min</t>
  </si>
  <si>
    <t>动感单车6公里 4组无氧</t>
  </si>
  <si>
    <t>跑步+走路约107min</t>
  </si>
  <si>
    <t>动感单车7公里 4组无氧</t>
  </si>
  <si>
    <t>俯卧撑 卷腹 跑步 40min</t>
  </si>
  <si>
    <t>热身+腿+核心，40min</t>
  </si>
  <si>
    <t>跑步+走路约76min</t>
  </si>
  <si>
    <t>动感单车8公里 4组无氧</t>
  </si>
  <si>
    <t>拉伸 腿部力量 俯卧撑 30min</t>
  </si>
  <si>
    <t>操场上慢走2km</t>
  </si>
  <si>
    <t>跑步+走路约89min</t>
  </si>
  <si>
    <t>休息一天</t>
  </si>
  <si>
    <t>拉伸 腿部力量 散步 俯卧撑  50min</t>
  </si>
  <si>
    <t>胸，腹，共一小时</t>
  </si>
  <si>
    <t>跑步+走路约108min</t>
  </si>
  <si>
    <t>拉伸 腿部力量 俯卧撑 40min</t>
  </si>
  <si>
    <t>热身+腿+核心，35min</t>
  </si>
  <si>
    <t>跑步+走路约73min</t>
  </si>
  <si>
    <t>热身+胸，15min</t>
  </si>
  <si>
    <t>跑步+走路约97min</t>
  </si>
  <si>
    <t>跑步+走路约96min</t>
  </si>
  <si>
    <t>室内全身运动+拉伸2h</t>
  </si>
  <si>
    <t>HIIT，10min</t>
  </si>
  <si>
    <t>背＋有氧，1h</t>
  </si>
  <si>
    <t>室内全身运动+拉伸1.5h</t>
  </si>
  <si>
    <t>热身+下肢，30 min</t>
  </si>
  <si>
    <t>跑步+走路约65min</t>
  </si>
  <si>
    <t>热身+胸+腹+拉伸，45min</t>
  </si>
  <si>
    <t>跑步、走路、俯卧撑、仰卧起坐约88min</t>
  </si>
  <si>
    <t>HIIT+拉伸，30min</t>
  </si>
  <si>
    <t>腹，上肢，共半小时</t>
  </si>
  <si>
    <t>跑步、走路、俯卧撑、仰卧起坐约87min</t>
  </si>
  <si>
    <t>热身+下肢+核心，45min</t>
  </si>
  <si>
    <t xml:space="preserve">腹，腿共一小时
</t>
  </si>
  <si>
    <t>跑步+走路约208min</t>
  </si>
  <si>
    <t>跑步、走路、俯卧撑、仰卧起坐约167min</t>
  </si>
  <si>
    <t>上肢，腹，有氧共两小时</t>
  </si>
  <si>
    <t>跑步 45min</t>
  </si>
  <si>
    <t>全身，20min</t>
  </si>
  <si>
    <t>俯卧撑 15min</t>
  </si>
  <si>
    <t>慢跑30min</t>
  </si>
  <si>
    <t>深蹲、俯卧撑、拉伸、颈椎操 30min</t>
  </si>
  <si>
    <t>游泳1小时</t>
  </si>
  <si>
    <t>拉伸 马步 游泳半小时</t>
  </si>
  <si>
    <t>拉伸 马步 游泳 1300 1.2h</t>
  </si>
  <si>
    <t>游泳 1h</t>
  </si>
  <si>
    <t>美丽芭蕾第四套</t>
  </si>
  <si>
    <t>拉伸 马步 游泳1200  1.2h</t>
  </si>
  <si>
    <t>水里扑腾了30min，健身房1h</t>
  </si>
  <si>
    <t>步行2小时</t>
  </si>
  <si>
    <t>爬山</t>
  </si>
  <si>
    <t>拉伸 马步 10min</t>
  </si>
  <si>
    <t>下雨在酒店宅了</t>
  </si>
  <si>
    <t>负重骑车40min</t>
  </si>
  <si>
    <t>健身房运动1h</t>
  </si>
  <si>
    <t>热身+腿+核心，30min</t>
  </si>
  <si>
    <t>俯卧撑 腹肌八分钟 深蹲 30min</t>
  </si>
  <si>
    <t>搬家若干小时</t>
  </si>
  <si>
    <t>羽毛球1h30min</t>
  </si>
  <si>
    <t>步行1h</t>
  </si>
  <si>
    <t>游泳1h</t>
  </si>
  <si>
    <t>游泳40min</t>
  </si>
  <si>
    <t>跑步机30min,拉伸20min</t>
  </si>
  <si>
    <t>连续三天没运动失败</t>
  </si>
  <si>
    <t>谢中明</t>
  </si>
  <si>
    <t>腹肌训练10min+骑车70min</t>
  </si>
  <si>
    <t>步行1小时</t>
  </si>
  <si>
    <t>散步半小时（运动强度太弱了）</t>
  </si>
  <si>
    <t>跑步45min</t>
  </si>
  <si>
    <t>健身房1h</t>
  </si>
  <si>
    <t>拉伸 马步 游泳50min</t>
  </si>
  <si>
    <t>散步半小时</t>
  </si>
  <si>
    <t>美丽芭蕾1h</t>
  </si>
  <si>
    <t>腹肌10min+胸肌15min+篮球约60min</t>
  </si>
  <si>
    <t>散步40min</t>
  </si>
  <si>
    <t>散步30min美丽芭蕾瘦腿1h</t>
  </si>
  <si>
    <t>健身房40min</t>
  </si>
  <si>
    <t>拉伸 游泳 半小时</t>
  </si>
  <si>
    <t>深蹲+俯卧撑</t>
  </si>
  <si>
    <t>美丽芭蕾第四套羽毛球30min散步30min</t>
  </si>
  <si>
    <t>拉伸，马步，腹肌八分钟，胸肌12分钟</t>
  </si>
  <si>
    <t>骑车60min</t>
  </si>
  <si>
    <t xml:space="preserve">散步1h
</t>
  </si>
  <si>
    <t>散步美丽芭蕾第四套+拉伸</t>
  </si>
  <si>
    <t>散步8000步以上+美丽芭蕾第四套+拉伸</t>
  </si>
  <si>
    <t>晨练50min</t>
  </si>
  <si>
    <t>胡呈鹏</t>
  </si>
  <si>
    <t>骑车约60min</t>
  </si>
  <si>
    <t>散步1h+羽毛球+美丽芭蕾+韩小四瘦腿</t>
  </si>
  <si>
    <t>慢跑3km</t>
  </si>
  <si>
    <t>下肢+核心，30min</t>
  </si>
  <si>
    <t>骑车约90min</t>
  </si>
  <si>
    <t>散步+韩小四</t>
  </si>
  <si>
    <t>腹肌八分钟 胸肌12分钟 颈椎操</t>
  </si>
  <si>
    <t>羽毛球30min+跳绳300个+拉伸</t>
  </si>
  <si>
    <t>慢跑4km</t>
  </si>
  <si>
    <t>拉伸 马步 骑车 30min</t>
  </si>
  <si>
    <t>散步1h</t>
  </si>
  <si>
    <t>拉伸 马步 游泳30min 颈椎操</t>
  </si>
  <si>
    <t>步行13162步</t>
  </si>
  <si>
    <t>拉伸  马步  颈椎操 俯卧撑 卷腹 30min</t>
  </si>
  <si>
    <t>散步30min</t>
  </si>
  <si>
    <t>健身1h，学游泳1.5h</t>
  </si>
  <si>
    <t>慢跑5km</t>
  </si>
  <si>
    <t>拉伸 马步 颈椎操</t>
  </si>
  <si>
    <t>拉伸 30 min</t>
  </si>
  <si>
    <t>学习游泳1h</t>
  </si>
  <si>
    <t>马步 拉伸  30min</t>
  </si>
  <si>
    <t>羽毛球1.5h</t>
  </si>
  <si>
    <t>马步 拉伸 散步 30min</t>
  </si>
  <si>
    <t>学习游泳1.5h</t>
  </si>
  <si>
    <t>马步 拉伸 颈椎操 散步 1h</t>
  </si>
  <si>
    <t>马步 拉伸 颈椎操 散步 30min</t>
  </si>
  <si>
    <t>热身+HIIT+胸，30min</t>
  </si>
  <si>
    <t>马步 拉伸 颈椎操 散步 腹肌八分钟  45min</t>
  </si>
  <si>
    <t>类别</t>
  </si>
  <si>
    <t>早上起床时间</t>
  </si>
  <si>
    <t>晚上睡觉时间</t>
  </si>
  <si>
    <t>午睡记录</t>
  </si>
  <si>
    <t>标准请自定</t>
  </si>
  <si>
    <t>&gt;30min</t>
  </si>
  <si>
    <t>7：30</t>
  </si>
  <si>
    <t xml:space="preserve"> 11：30</t>
  </si>
  <si>
    <t>8点前</t>
  </si>
  <si>
    <t>23:30点前</t>
  </si>
  <si>
    <t>不计</t>
  </si>
  <si>
    <t>2h</t>
  </si>
  <si>
    <t>6：30</t>
  </si>
  <si>
    <t>11：40</t>
  </si>
  <si>
    <t>30min</t>
  </si>
  <si>
    <t>7：20</t>
  </si>
  <si>
    <t>23：30</t>
  </si>
  <si>
    <t>6：40</t>
  </si>
  <si>
    <t>11：30</t>
  </si>
  <si>
    <t>1h</t>
  </si>
  <si>
    <t>23：50</t>
  </si>
  <si>
    <t>1：00</t>
  </si>
  <si>
    <t>6：00</t>
  </si>
  <si>
    <t>0：30</t>
  </si>
  <si>
    <t>23：20</t>
  </si>
  <si>
    <t>22：55</t>
  </si>
  <si>
    <t>作息</t>
  </si>
  <si>
    <t>自定健康的作息标准, 建议早睡早起，中午午休。</t>
  </si>
  <si>
    <t>郑威</t>
  </si>
  <si>
    <t>陈虹宇</t>
  </si>
  <si>
    <t>翟许辰</t>
  </si>
  <si>
    <t>8:30前</t>
  </si>
  <si>
    <t>11:30前</t>
  </si>
  <si>
    <t>-</t>
  </si>
  <si>
    <t>00:00前</t>
  </si>
  <si>
    <t>0:00前</t>
  </si>
  <si>
    <t>至少30min</t>
  </si>
  <si>
    <t>9点前</t>
  </si>
  <si>
    <t>11.30前</t>
  </si>
  <si>
    <t>一小时内</t>
  </si>
  <si>
    <t>尽量30min</t>
  </si>
  <si>
    <t>尽量20min</t>
  </si>
  <si>
    <t>7：30前</t>
  </si>
  <si>
    <t>12：30前</t>
  </si>
  <si>
    <t>1:00-2:00</t>
  </si>
  <si>
    <t>8：00</t>
  </si>
  <si>
    <t>有</t>
  </si>
  <si>
    <t>8：30前</t>
  </si>
  <si>
    <t>尽量有</t>
  </si>
  <si>
    <t>不需要😴</t>
  </si>
  <si>
    <t>03:25+</t>
  </si>
  <si>
    <t>6：50</t>
  </si>
  <si>
    <t>1：30</t>
  </si>
  <si>
    <t>12：30</t>
  </si>
  <si>
    <t>01:29吧</t>
  </si>
  <si>
    <t>20min静坐</t>
  </si>
  <si>
    <t>1：47</t>
  </si>
  <si>
    <t>2：00</t>
  </si>
  <si>
    <t>2h！</t>
  </si>
  <si>
    <t>9：00</t>
  </si>
  <si>
    <t>7：10</t>
  </si>
  <si>
    <t>10：00</t>
  </si>
  <si>
    <t>1.5h</t>
  </si>
  <si>
    <t>10min</t>
  </si>
  <si>
    <t>12：17</t>
  </si>
  <si>
    <t>11：50</t>
  </si>
  <si>
    <t>火车上</t>
  </si>
  <si>
    <t>8：20</t>
  </si>
  <si>
    <t>12：00</t>
  </si>
  <si>
    <t>睡了好几次应该有2h</t>
  </si>
  <si>
    <t>失眠</t>
  </si>
  <si>
    <t>40min</t>
  </si>
  <si>
    <t>1：40</t>
  </si>
  <si>
    <t>30mij</t>
  </si>
  <si>
    <t>12：15</t>
  </si>
  <si>
    <t>20min</t>
  </si>
  <si>
    <t>？</t>
  </si>
  <si>
    <t>睡不着</t>
  </si>
  <si>
    <t>?</t>
  </si>
  <si>
    <t>+7:00:00</t>
  </si>
  <si>
    <t>10：30</t>
  </si>
  <si>
    <t>备注</t>
  </si>
  <si>
    <t>请每天打卡</t>
  </si>
  <si>
    <t>合格请标蓝</t>
  </si>
  <si>
    <t>失败请标红</t>
  </si>
  <si>
    <t>一周4天睡眠达标则成功</t>
  </si>
  <si>
    <t>23：00前</t>
  </si>
  <si>
    <t>08:00前</t>
  </si>
  <si>
    <t>23:30前</t>
  </si>
  <si>
    <t>9点</t>
  </si>
  <si>
    <t>12点半</t>
  </si>
  <si>
    <t>8:00之前</t>
  </si>
  <si>
    <t>0:00之前</t>
  </si>
  <si>
    <t>11点之前</t>
  </si>
  <si>
    <t>12点前</t>
  </si>
  <si>
    <t>11:30（失眠）</t>
  </si>
  <si>
    <t>12:50-14:10</t>
  </si>
  <si>
    <t>11点</t>
  </si>
  <si>
    <t>11：15</t>
  </si>
  <si>
    <t>23：:50</t>
  </si>
  <si>
    <t>null</t>
  </si>
  <si>
    <t>2.5h</t>
  </si>
  <si>
    <t>6：58</t>
  </si>
  <si>
    <t>10:：37</t>
  </si>
  <si>
    <t>本周吊车尾(⊙︿⊙)</t>
  </si>
  <si>
    <t>11：00</t>
  </si>
  <si>
    <t>7：12</t>
  </si>
  <si>
    <t>23：00</t>
  </si>
  <si>
    <t>8：30</t>
  </si>
  <si>
    <t>7：06</t>
  </si>
  <si>
    <t>23：40</t>
  </si>
  <si>
    <t>8：45</t>
  </si>
  <si>
    <t>9：30</t>
  </si>
  <si>
    <t xml:space="preserve">9：30 </t>
  </si>
  <si>
    <t>8;30</t>
  </si>
  <si>
    <t>1;00</t>
  </si>
  <si>
    <t>不能坚持打卡，遗憾~</t>
  </si>
  <si>
    <t>下次再晚一些就不要工作啦，修身为本，不急一晚上的。另，建议适当午睡</t>
  </si>
  <si>
    <t>没有进步</t>
  </si>
  <si>
    <t>能坚持午睡还是不错的！ 加油！</t>
  </si>
  <si>
    <t>尽量把作息稳定下来，标准可以不用一下子定特别难，另外建议午睡。</t>
  </si>
  <si>
    <t>应该是旅游休息去了</t>
  </si>
  <si>
    <t>作息其实已经不错啦，继续坚持，另外午睡时间是大于30分钟，不能特别长，但也不用死卡30min</t>
  </si>
  <si>
    <t>某种角度还挺规律的哈，可以把标准先定到12:30 和9:00. 早饭前一天备下写。中午不困也可以在12:40左右躺下呆半小时闭目养神。</t>
  </si>
  <si>
    <t>5：40</t>
  </si>
  <si>
    <t xml:space="preserve"> 23：12</t>
  </si>
  <si>
    <t>（本周用新标准）06:40:00</t>
  </si>
  <si>
    <t>6：59</t>
  </si>
  <si>
    <t>1：12</t>
  </si>
  <si>
    <t>0：20</t>
  </si>
  <si>
    <t>07:45
（这里开
始把标准
降低了）</t>
  </si>
  <si>
    <t>请自行报名填入表头</t>
  </si>
  <si>
    <t>少于30min</t>
  </si>
  <si>
    <t>&gt;10m</t>
  </si>
  <si>
    <t>&gt;20min</t>
  </si>
  <si>
    <t>&gt;30m</t>
  </si>
  <si>
    <t>11：20</t>
  </si>
  <si>
    <t>0：10</t>
  </si>
  <si>
    <t>23：12</t>
  </si>
  <si>
    <t>7：45</t>
  </si>
  <si>
    <t>23：10</t>
  </si>
  <si>
    <t>7：39</t>
  </si>
  <si>
    <t>30m</t>
  </si>
  <si>
    <t>7：50</t>
  </si>
  <si>
    <t>11：45</t>
  </si>
  <si>
    <t>6：31</t>
  </si>
  <si>
    <t>12：05</t>
  </si>
  <si>
    <t>0：44</t>
  </si>
  <si>
    <t>6：10</t>
  </si>
  <si>
    <t>2:00(11点上床，失眠三个小时才睡着)</t>
  </si>
  <si>
    <t>7：40</t>
  </si>
  <si>
    <t>23：23</t>
  </si>
  <si>
    <t>23：34</t>
  </si>
  <si>
    <t>1:00，这次失眠两个小时orz</t>
  </si>
  <si>
    <t>7：00</t>
  </si>
  <si>
    <t>9：22</t>
  </si>
  <si>
    <t>23：39</t>
  </si>
  <si>
    <t>23：05</t>
  </si>
  <si>
    <t>23：55</t>
  </si>
  <si>
    <t>周鑫池</t>
  </si>
  <si>
    <t>谢润龙</t>
  </si>
  <si>
    <t>张胜霖</t>
  </si>
  <si>
    <t>8：00前</t>
  </si>
  <si>
    <t>11：20前</t>
  </si>
  <si>
    <t>9：00之前</t>
  </si>
  <si>
    <t>12:30之前</t>
  </si>
  <si>
    <t>1:00之前</t>
  </si>
  <si>
    <t>不睡</t>
  </si>
  <si>
    <t>0：00前</t>
  </si>
  <si>
    <t>6：20</t>
  </si>
  <si>
    <t>22：20</t>
  </si>
  <si>
    <t>30分钟</t>
  </si>
  <si>
    <t>12：00前</t>
  </si>
  <si>
    <t>在家不午睡</t>
  </si>
  <si>
    <t>23：18</t>
  </si>
  <si>
    <t>8：25</t>
  </si>
  <si>
    <t>23：58</t>
  </si>
  <si>
    <t>22：19</t>
  </si>
  <si>
    <t>11;30</t>
  </si>
  <si>
    <t>7：05</t>
  </si>
  <si>
    <t>12：40</t>
  </si>
  <si>
    <t>22：28</t>
  </si>
  <si>
    <t>8：15</t>
  </si>
  <si>
    <t>23：15</t>
  </si>
  <si>
    <t>10：45</t>
  </si>
  <si>
    <t>22：18</t>
  </si>
  <si>
    <t>1h30min</t>
  </si>
  <si>
    <t>1：20</t>
  </si>
  <si>
    <t>6：09</t>
  </si>
  <si>
    <t>22：36</t>
  </si>
  <si>
    <t>1h40min</t>
  </si>
  <si>
    <t>12：20</t>
  </si>
  <si>
    <t>6：19</t>
  </si>
  <si>
    <t>22：23</t>
  </si>
  <si>
    <t>2：10</t>
  </si>
  <si>
    <t>06：17</t>
  </si>
  <si>
    <t>22：08</t>
  </si>
  <si>
    <t>11：07</t>
  </si>
  <si>
    <t>22：50</t>
  </si>
  <si>
    <t>10：10</t>
  </si>
  <si>
    <t>06：00</t>
  </si>
  <si>
    <t>8：00之前</t>
  </si>
  <si>
    <t>11：20之前</t>
  </si>
  <si>
    <t>8点</t>
  </si>
  <si>
    <t>24之前</t>
  </si>
  <si>
    <t>随意</t>
  </si>
  <si>
    <t>15min</t>
  </si>
  <si>
    <t>8：10</t>
  </si>
  <si>
    <t>6：06</t>
  </si>
  <si>
    <t>22：00</t>
  </si>
  <si>
    <t>6：02</t>
  </si>
  <si>
    <t>6：15</t>
  </si>
  <si>
    <t>0.3h</t>
  </si>
  <si>
    <t>0：00</t>
  </si>
  <si>
    <t>8：40</t>
  </si>
  <si>
    <t>6：36</t>
  </si>
  <si>
    <t>6：05</t>
  </si>
  <si>
    <t>0：05</t>
  </si>
  <si>
    <t>6：08</t>
  </si>
  <si>
    <t>5：57</t>
  </si>
  <si>
    <t>7：04</t>
  </si>
  <si>
    <t>0：40</t>
  </si>
  <si>
    <t>0：00之前</t>
  </si>
  <si>
    <t>11：30之前</t>
  </si>
  <si>
    <t>11：10</t>
  </si>
  <si>
    <t>7；00</t>
  </si>
  <si>
    <t>24：00</t>
  </si>
  <si>
    <t xml:space="preserve"> 30min</t>
  </si>
  <si>
    <t>自定饮食标准</t>
  </si>
  <si>
    <t>饮食清淡，每日喝汤吃水果，不吃冷饮</t>
  </si>
  <si>
    <t>少咸、糖、辣</t>
  </si>
  <si>
    <t>吃早饭</t>
  </si>
  <si>
    <t>早晨</t>
  </si>
  <si>
    <t>午餐</t>
  </si>
  <si>
    <t>晚餐</t>
  </si>
  <si>
    <t>加餐、水果等</t>
  </si>
  <si>
    <t>早餐</t>
  </si>
  <si>
    <t>鸡蛋，混沌</t>
  </si>
  <si>
    <t>豆腐，豆腐皮，馒头</t>
  </si>
  <si>
    <t>鸡蛋面</t>
  </si>
  <si>
    <t>香蕉</t>
  </si>
  <si>
    <t>天虹芝士米兰肠蛋酱三文治、
黑豆奶一盒</t>
  </si>
  <si>
    <t>米饭、鱼🐟、
豆角炒肉丝</t>
  </si>
  <si>
    <t>米饭、蒜苗炒豆腐</t>
  </si>
  <si>
    <t>豆奶两盒</t>
  </si>
  <si>
    <t>鸡蛋，青菜，粥</t>
  </si>
  <si>
    <t>西红柿炒鸡蛋</t>
  </si>
  <si>
    <t>牛肉面</t>
  </si>
  <si>
    <t>某饼、粥</t>
  </si>
  <si>
    <t>八宝粥一罐</t>
  </si>
  <si>
    <t>鸭血火锅</t>
  </si>
  <si>
    <t>莲蓬</t>
  </si>
  <si>
    <t>鸡蛋，油菜，馒头</t>
  </si>
  <si>
    <t>青菜、豆腐，馒头</t>
  </si>
  <si>
    <t>苹果</t>
  </si>
  <si>
    <t>天虹芝士米兰肠蛋酱三文治、
莲蓬一个</t>
  </si>
  <si>
    <t>豆腐、馍馍一个</t>
  </si>
  <si>
    <t>泡面</t>
  </si>
  <si>
    <t>鸡蛋，豆浆，包子</t>
  </si>
  <si>
    <t>鸡腿、豆腐皮、大米</t>
  </si>
  <si>
    <t>生炒牛肉饭</t>
  </si>
  <si>
    <t>粥、桃酥、蛋挞</t>
  </si>
  <si>
    <t>鸡蛋、瘦肉粥、包子</t>
  </si>
  <si>
    <t>猪肉盖饭</t>
  </si>
  <si>
    <t>银耳莲子粥，糕，娃娃菜，蛋糕</t>
  </si>
  <si>
    <t>苹果，山竹</t>
  </si>
  <si>
    <t>忘了…但吃了</t>
  </si>
  <si>
    <t>鸡肉、米饭</t>
  </si>
  <si>
    <t>周年祭聚餐</t>
  </si>
  <si>
    <t>苹果🍎、山竹</t>
  </si>
  <si>
    <t>鸡蛋，粥，馒头</t>
  </si>
  <si>
    <t>忘了</t>
  </si>
  <si>
    <t>饭团🍙</t>
  </si>
  <si>
    <t>米饭、粉丝、
土豆丝</t>
  </si>
  <si>
    <t>烤红薯</t>
  </si>
  <si>
    <t>鸡蛋，粥，糕点</t>
  </si>
  <si>
    <t>豆腐皮，西葫芦，馒头</t>
  </si>
  <si>
    <t>豆腐、西葫芦</t>
  </si>
  <si>
    <t>馍馍、鸭肉、
油豆腐</t>
  </si>
  <si>
    <t>面包🍞、牛奶</t>
  </si>
  <si>
    <t>饮食</t>
  </si>
  <si>
    <t>说明：自定饮食标准</t>
  </si>
  <si>
    <t>说明：4天达标成功</t>
  </si>
  <si>
    <t>根据自身情况和各地饮食习惯，自行拟定健康的饮食标准，建议荤素搭配合理，每日搭配水果，清淡饮食，少吃重油盐的食物，比如烧烤、麻辣串、小龙虾等等。每天记录三餐和加餐饮食</t>
  </si>
  <si>
    <t xml:space="preserve">建议少吃或不吃
1.烤肉
2.冰啤酒
2.冰西瓜
3.冰棍
4.小龙虾/奶茶/小田螺
5.炸鸡
6.麻辣火锅 </t>
  </si>
  <si>
    <t>谢壮壮</t>
  </si>
  <si>
    <t>豆沙黑白芝麻青团</t>
  </si>
  <si>
    <t>秋葵 青菜 藕丝 米饭</t>
  </si>
  <si>
    <t>土豆牛腩 青菜 米饭 酸菜蒸龙利鱼</t>
  </si>
  <si>
    <t>龙眼 饼干</t>
  </si>
  <si>
    <t>米饭 豆角 血鸭</t>
  </si>
  <si>
    <t>米饭 绿豆 肉汤 萝卜干</t>
  </si>
  <si>
    <t>苹果 粽子 鸡蛋 牛肉干</t>
  </si>
  <si>
    <t>牛奶</t>
  </si>
  <si>
    <t>米饭 青菜 鸡腿</t>
  </si>
  <si>
    <t>米饭 豆腐 排骨</t>
  </si>
  <si>
    <r>
      <rPr>
        <rFont val="等线"/>
        <scheme val="minor"/>
        <sz val="9.0"/>
      </rPr>
      <t>酸奶、</t>
    </r>
    <r>
      <rPr>
        <rFont val="等线"/>
        <scheme val="minor"/>
        <sz val="9.0"/>
        <color rgb="FE2C23"/>
      </rPr>
      <t>冰淇淋</t>
    </r>
    <r>
      <rPr>
        <rFont val="等线"/>
        <scheme val="minor"/>
        <sz val="9.0"/>
      </rPr>
      <t>、坚果、麦片</t>
    </r>
  </si>
  <si>
    <t>米饭、羊扒、白菜</t>
  </si>
  <si>
    <t>米饭、羊扒、青瓜</t>
  </si>
  <si>
    <r>
      <rPr>
        <rFont val="等线"/>
        <scheme val="minor"/>
        <sz val="9.0"/>
      </rPr>
      <t>橙子、</t>
    </r>
    <r>
      <rPr>
        <rFont val="等线"/>
        <scheme val="minor"/>
        <sz val="9.0"/>
        <color rgb="FE2C23"/>
      </rPr>
      <t>冰淇淋</t>
    </r>
  </si>
  <si>
    <t>鸡蛋 墨鱼仔 黄瓜丝 面条</t>
  </si>
  <si>
    <t>鲍鱼山药汤</t>
  </si>
  <si>
    <t>青团 蒜蓉生菜粉丝 小墨鱼</t>
  </si>
  <si>
    <t>羊角蜜 绿豆汤 饼干</t>
  </si>
  <si>
    <t>米饭 粽子 鸡蛋 玉米 豆角 鱼</t>
  </si>
  <si>
    <t xml:space="preserve">粽子 猪蹄 豆角 </t>
  </si>
  <si>
    <t>苹果 牛奶</t>
  </si>
  <si>
    <t>河粉，煎蛋，玉米，烧卖，豆浆</t>
  </si>
  <si>
    <t>牛肉丸，青菜，面条</t>
  </si>
  <si>
    <t>米饭，豆腐，鸭肉</t>
  </si>
  <si>
    <r>
      <rPr>
        <rFont val="等线"/>
        <scheme val="minor"/>
        <sz val="9.0"/>
      </rPr>
      <t>香蕉，</t>
    </r>
    <r>
      <rPr>
        <rFont val="等线"/>
        <scheme val="minor"/>
        <sz val="9.0"/>
        <color rgb="FE2C23"/>
      </rPr>
      <t>冰淇淋</t>
    </r>
  </si>
  <si>
    <t>米饭、红烧肉、白萝卜</t>
  </si>
  <si>
    <t>橙子</t>
  </si>
  <si>
    <t>炒面+白菜+绿豆大米粥+白煮蛋</t>
  </si>
  <si>
    <t>鲍鱼山药汤 鸭子红豆薏米冬瓜汤 清蒸鱿鱼足 青团</t>
  </si>
  <si>
    <t>青团 鲫鱼豆腐汤 鸭子汤</t>
  </si>
  <si>
    <t>羊角蜜 饼干</t>
  </si>
  <si>
    <t>米饭 馒头 鱿鱼丝炒肉</t>
  </si>
  <si>
    <t>面条 米饭 流心蛋×2 豆角</t>
  </si>
  <si>
    <t xml:space="preserve">红烧鸡腿 油麦菜 豆角 米饭 鸡蛋 </t>
  </si>
  <si>
    <t>牛奶 凉粉 苹果</t>
  </si>
  <si>
    <t>米饭 豆腐 培根</t>
  </si>
  <si>
    <t>铁板鸡丝饭</t>
  </si>
  <si>
    <t>酸牛奶</t>
  </si>
  <si>
    <t>牛奶、麦片</t>
  </si>
  <si>
    <t>米饭、红烧肉、白萝卜、洋葱</t>
  </si>
  <si>
    <t>米饭、排骨、白菜</t>
  </si>
  <si>
    <t>坚果棒、橘子</t>
  </si>
  <si>
    <t>米饭、豆角</t>
  </si>
  <si>
    <t>面条、鸡蛋</t>
  </si>
  <si>
    <t>米飯、蔬菜、雞蛋</t>
  </si>
  <si>
    <t>李子</t>
  </si>
  <si>
    <t>鸭腿鸭血粉丝汤</t>
  </si>
  <si>
    <t>墨鱼仔拌黄瓜 煎饼</t>
  </si>
  <si>
    <t>鸡蛋拌黄瓜 鲍鱼山药汤，鲫鱼豆腐汤，煎饼</t>
  </si>
  <si>
    <t>水果黄瓜 饼干</t>
  </si>
  <si>
    <t>米饭 鸡蛋羹 油麦菜 水煮蛋</t>
  </si>
  <si>
    <t>油麦菜 米饭</t>
  </si>
  <si>
    <t>丝瓜 米饭 肉丝汤</t>
  </si>
  <si>
    <t>凉粉 牛奶 苹果</t>
  </si>
  <si>
    <t>米饭 煎蛋 鸭肉</t>
  </si>
  <si>
    <t>鸡肉拌饭（有青菜）</t>
  </si>
  <si>
    <t>米饭、土豆烧排骨</t>
  </si>
  <si>
    <t>米饭、土豆烧排骨、番茄肉丸子</t>
  </si>
  <si>
    <t>橘子、冰淇淋</t>
  </si>
  <si>
    <t>米飯、干蘿蔔、
豆角、辣椒</t>
  </si>
  <si>
    <t>面条、豆角、
鸡蛋</t>
  </si>
  <si>
    <t>米饭、南瓜</t>
  </si>
  <si>
    <t>西瓜、李子</t>
  </si>
  <si>
    <t>饼干 百合莲子银耳羹 鲍鱼山药汤</t>
  </si>
  <si>
    <t>墨鱼鸡蛋拌粉丝生菜 +祛湿鸭子汤+煎饼</t>
  </si>
  <si>
    <t>牛肚+土豆片+圆生菜+煎饼+鲫鱼豆腐汤</t>
  </si>
  <si>
    <t>饼干</t>
  </si>
  <si>
    <t>苦瓜 鸡蛋</t>
  </si>
  <si>
    <t xml:space="preserve">馒头 </t>
  </si>
  <si>
    <t>西红柿 花菜 米饭 鸡肉 牛肉 黄芽白</t>
  </si>
  <si>
    <t>面包 牛奶</t>
  </si>
  <si>
    <t>米饭 烧鸭 豆腐</t>
  </si>
  <si>
    <t>饺子</t>
  </si>
  <si>
    <t>羊肉面、萝卜</t>
  </si>
  <si>
    <t>米饭、火锅（牛羊肉、茼蒿、金针菇）</t>
  </si>
  <si>
    <t>橘子、麦片棒</t>
  </si>
  <si>
    <t>绿豆稀饭</t>
  </si>
  <si>
    <t>米饭、莲藕、辣椒</t>
  </si>
  <si>
    <t>米饭、茄子、辣椒</t>
  </si>
  <si>
    <t>西瓜、火龙果、
芒果、旺旺雪饼</t>
  </si>
  <si>
    <t>生菜 青团</t>
  </si>
  <si>
    <t>黑虎虾 青团</t>
  </si>
  <si>
    <t>鲍鱼山药汤 猪肚鸡 米饭</t>
  </si>
  <si>
    <t>肠粉 豆奶 麻圆</t>
  </si>
  <si>
    <t xml:space="preserve">米饭 胡萝卜 青菜 香蕉 </t>
  </si>
  <si>
    <t>牛肉丸 热干面</t>
  </si>
  <si>
    <t>牛肉丸 鸡胸肉 米粉</t>
  </si>
  <si>
    <t>米饭、茼蒿、鸡肉馅饼</t>
  </si>
  <si>
    <t>米饭、猪肉、红椒、洋葱</t>
  </si>
  <si>
    <t>橘子、麦片棒、冰淇淋</t>
  </si>
  <si>
    <t>雞蛋炒河粉</t>
  </si>
  <si>
    <t>米飯、辣椒、
豆干、豆角</t>
  </si>
  <si>
    <t>米飯、辣椒、
豆干、玉米、
饅頭</t>
  </si>
  <si>
    <t>西瓜、蘋果、
李子、葡萄</t>
  </si>
  <si>
    <t>黑虎虾鸡蛋羹</t>
  </si>
  <si>
    <t>彩椒洋葱鸡块 蘑菇豆腐 米饭</t>
  </si>
  <si>
    <t>鸭子肉 海带丸子 苦瓜 米饭</t>
  </si>
  <si>
    <t>黑虎虾</t>
  </si>
  <si>
    <t>面包牛奶</t>
  </si>
  <si>
    <t>米饭 秋葵 青菜</t>
  </si>
  <si>
    <t>米饭 冬瓜 莲藕 玉米</t>
  </si>
  <si>
    <t>玉米 鸡蛋</t>
  </si>
  <si>
    <t>蛋糕 披萨 牛奶</t>
  </si>
  <si>
    <t>猪肉丸 米饭 鸡肉片 青菜</t>
  </si>
  <si>
    <t>火锅（牛羊茼蒿等等）</t>
  </si>
  <si>
    <t>橘子、香蕉</t>
  </si>
  <si>
    <t>麵條、雞蛋</t>
  </si>
  <si>
    <t>米飯、豆角</t>
  </si>
  <si>
    <t>米飯、豆角、胡蘿蔔</t>
  </si>
  <si>
    <t>李子、葡萄、餅乾</t>
  </si>
  <si>
    <t>饮食搭配挺合理的，不过要保证三餐哈</t>
  </si>
  <si>
    <t>吃青菜、水果有些偏少了，另外早上起不来去食堂吃早餐，可以备下一点食物，早晨经常不吃可能对肝胆有损伤。</t>
  </si>
  <si>
    <t>冰激凌少吃几次可以，不要太频繁吃，其他饮食都很好！</t>
  </si>
  <si>
    <t>如果你待的地方湿气不是很重的话，辣椒吃的比较偏多一些了。</t>
  </si>
  <si>
    <t>挑战失败-_-||</t>
  </si>
  <si>
    <t>清淡饮食，不吃冷饮，每日喝汤</t>
  </si>
  <si>
    <t>饼干 石斛山药鸭子汤</t>
  </si>
  <si>
    <t>白煮牛肉柠檬汁拌黄瓜丝 馒头</t>
  </si>
  <si>
    <t>蒜蓉柠檬汁酱牛肉拌黄瓜 馒头</t>
  </si>
  <si>
    <t>水果黄瓜</t>
  </si>
  <si>
    <t>牛肉黄瓜柠檬麻汁凉面</t>
  </si>
  <si>
    <t>小西红柿 黄瓜 柠檬 虾 凉拌 馒头</t>
  </si>
  <si>
    <t>栗子山药红烧兔肉 生菜 馒头</t>
  </si>
  <si>
    <t>牛肉花瓜柠檬麻汁凉面</t>
  </si>
  <si>
    <t>绿豆粥 馒头 卤鸭肝 卤牛肉 黄瓜 柠檬</t>
  </si>
  <si>
    <t>红枣小米粥</t>
  </si>
  <si>
    <t>卤牛肉 卤千张丝 卤兔子肝 小西红柿 黄瓜丝 麻汁柠檬汁酱料，馒头</t>
  </si>
  <si>
    <t>鹅肝 虾仁蒸蛋，卤千张丝 生菜 馒头</t>
  </si>
  <si>
    <t xml:space="preserve">兔肝 牛肉 鸭血 粉丝 生菜 柠檬汁 </t>
  </si>
  <si>
    <t>罗宋汤配馒头</t>
  </si>
  <si>
    <t>芒果</t>
  </si>
  <si>
    <t>面条配鸭血</t>
  </si>
  <si>
    <t>卤兔腿，卤千张，卤鸭胗，青菜，豆腐，少量猪肉片，馒头</t>
  </si>
  <si>
    <t>冬瓜薏米猪骨汤+香菇蒸排骨+金针菇白菜豆腐+馒头+花卷</t>
  </si>
  <si>
    <t>饮食清淡，少吃油腻荤，少吃冷食</t>
  </si>
  <si>
    <t>尽量清淡，不油腻</t>
  </si>
  <si>
    <t>柠檬酸鱼汤</t>
  </si>
  <si>
    <t>生菜牛肉牛丸清汤面</t>
  </si>
  <si>
    <t>生菜 小西红柿 卤千张 柠檬 馒头</t>
  </si>
  <si>
    <t>鲍鱼山药汤 芒果</t>
  </si>
  <si>
    <t>牛奶，鸡蛋，饼子</t>
  </si>
  <si>
    <t>大烩菜</t>
  </si>
  <si>
    <t>红薯就饼子</t>
  </si>
  <si>
    <t>起床一杯白开水，黄瓜汤</t>
  </si>
  <si>
    <t>家常菜</t>
  </si>
  <si>
    <t>西瓜</t>
  </si>
  <si>
    <t>鸡蛋猪肉肠粉+红豆大米粥</t>
  </si>
  <si>
    <t>玉米粥 卤兔肝 卤鸭胸肉 生菜 黄瓜丝 麻汁凉面 鲍鱼山药汤</t>
  </si>
  <si>
    <t>艾草青团+祛湿鸭子汤+玉米粥</t>
  </si>
  <si>
    <t>黑米糊+鸡蛋+饼子</t>
  </si>
  <si>
    <t>西葫芦、饺子、鸡蛋</t>
  </si>
  <si>
    <t>南瓜粥，鸡蛋饼</t>
  </si>
  <si>
    <t>银耳汤，粽子</t>
  </si>
  <si>
    <t>腊肉，炒土豆丝，宫保鸡丁熊猫笋</t>
  </si>
  <si>
    <t>葡萄🍇</t>
  </si>
  <si>
    <t>艾草青团+鸭腿+祛湿鸭子汤</t>
  </si>
  <si>
    <t>黄瓜丝 胡萝卜丝 柠檬汁麻汁凉面</t>
  </si>
  <si>
    <t>西红柿鸡蛋汤面+少量牛肉</t>
  </si>
  <si>
    <t>山竹 芒果</t>
  </si>
  <si>
    <t>面片，鸡蛋</t>
  </si>
  <si>
    <t>方便面</t>
  </si>
  <si>
    <t>手擀面</t>
  </si>
  <si>
    <t>张醪糟</t>
  </si>
  <si>
    <t>鱼火锅</t>
  </si>
  <si>
    <t>白灼虾，茄子，青菜，丝瓜汤，烧兔子</t>
  </si>
  <si>
    <t>西红柿鸡蛋汤+ 山竹</t>
  </si>
  <si>
    <t>黄瓜拌牛肉 西红柿鸡蛋汤 花卷</t>
  </si>
  <si>
    <t>生菜 卤豆腐 卤千张  卤藕、土豆片 花卷</t>
  </si>
  <si>
    <t>山竹 桃子 绿豆汤</t>
  </si>
  <si>
    <t>方便面➕鸡蛋</t>
  </si>
  <si>
    <r>
      <rPr>
        <rFont val="等线"/>
        <scheme val="minor"/>
        <sz val="9.0"/>
      </rPr>
      <t>豆角，大米，蛋汤，</t>
    </r>
    <r>
      <rPr>
        <rFont val="等线"/>
        <scheme val="minor"/>
        <sz val="9.0"/>
        <color rgb="FE2C23"/>
      </rPr>
      <t>炸鸡</t>
    </r>
  </si>
  <si>
    <t>稀粥，鸡蛋羹，馒头</t>
  </si>
  <si>
    <t>银耳汤，安德鲁森面包</t>
  </si>
  <si>
    <t>甜椒炒肉丝，番茄炒蛋，白菜豆腐汤</t>
  </si>
  <si>
    <t>玉米香菇饺子</t>
  </si>
  <si>
    <t>鸭腿肉</t>
  </si>
  <si>
    <t>艾草青团 花卷 生菜 豆腐 鲍鱼山药汤</t>
  </si>
  <si>
    <t>艾草青团 花卷 生菜 藕片 豆腐 鸭腿肉 绿豆汤</t>
  </si>
  <si>
    <t>李子 芒果 绿豆汤</t>
  </si>
  <si>
    <t>稀粥，鸡蛋</t>
  </si>
  <si>
    <t>茄子西葫芦，大米，凉粉，黄瓜</t>
  </si>
  <si>
    <t>挂面</t>
  </si>
  <si>
    <t>安德鲁森面包</t>
  </si>
  <si>
    <t>炒黄牛肉，鸡杂，白菜</t>
  </si>
  <si>
    <t>蛋糕，牛肉排骨干锅</t>
  </si>
  <si>
    <t>葡萄</t>
  </si>
  <si>
    <t>卤藕片 豆腐 鸭腿肉</t>
  </si>
  <si>
    <t>生菜 藕片 豆腐 鸭腿肉 花卷</t>
  </si>
  <si>
    <t>西红柿柠檬生菜牛肉汤+花卷</t>
  </si>
  <si>
    <t>绿豆汤 芒果 桃子</t>
  </si>
  <si>
    <t>豆面糊糊，馒头</t>
  </si>
  <si>
    <t>排骨，土豆，蒜苔木耳</t>
  </si>
  <si>
    <t>疙瘩汤</t>
  </si>
  <si>
    <t>牛肉米线</t>
  </si>
  <si>
    <r>
      <rPr>
        <rFont val="等线"/>
        <scheme val="minor"/>
        <sz val="9.0"/>
      </rPr>
      <t>宫保鸡丁，</t>
    </r>
    <r>
      <rPr>
        <rFont val="等线"/>
        <scheme val="minor"/>
        <sz val="9.0"/>
        <color rgb="FE2C23"/>
      </rPr>
      <t>烤翅</t>
    </r>
    <r>
      <rPr>
        <rFont val="等线"/>
        <scheme val="minor"/>
        <sz val="9.0"/>
      </rPr>
      <t>，番茄蛋花汤，冒菜</t>
    </r>
  </si>
  <si>
    <t>滋味烤鱼，烤兔子</t>
  </si>
  <si>
    <t>葡萄，西瓜</t>
  </si>
  <si>
    <t>西红柿柠檬生菜牛肉面</t>
  </si>
  <si>
    <t>青菜 炖鹅 花卷</t>
  </si>
  <si>
    <t>青菜 豆腐 牛肚 辣椒 花卷</t>
  </si>
  <si>
    <t>绿豆汤</t>
  </si>
  <si>
    <t>蛋挞，醪糟鸡蛋</t>
  </si>
  <si>
    <t>宫保鸡丁，洋葱肉丝</t>
  </si>
  <si>
    <t>番茄炒蛋，黄瓜等</t>
  </si>
  <si>
    <t>葡萄，李子</t>
  </si>
  <si>
    <t>吃的面食太多啦</t>
  </si>
  <si>
    <t>夏天少吃烧烤</t>
  </si>
  <si>
    <t>清淡饮食，不吃冷饮冰棍，每日喝汤吃水果</t>
  </si>
  <si>
    <t>控制甜口零食摄入（大概每天1根坚果棒的量）</t>
  </si>
  <si>
    <t>少吃甜食，少吃生冷油腻重口味</t>
  </si>
  <si>
    <t>少吃不卫生的食物，只吃自家菜，多吃肉水果蔬菜，早中晚餐要吃</t>
  </si>
  <si>
    <t>尽量清淡</t>
  </si>
  <si>
    <t>没吃</t>
  </si>
  <si>
    <t>鲍鱼山药汤 除湿冬瓜鸭子汤</t>
  </si>
  <si>
    <t>甘蓝豆腐胡萝卜香菇素蒸包 茶树菇鸭子汤</t>
  </si>
  <si>
    <t>绿豆汤 芒果</t>
  </si>
  <si>
    <t>牛奶麦片</t>
  </si>
  <si>
    <t>羊排白菜米饭</t>
  </si>
  <si>
    <t>米饭排骨白菜</t>
  </si>
  <si>
    <t>小米粥、鸡蛋、馒头</t>
  </si>
  <si>
    <t>土豆、豆角、大米</t>
  </si>
  <si>
    <t>大米，豆角，
土豆，
黄瓜丝，鸡蛋</t>
  </si>
  <si>
    <t>鸡肉，烙饼，某瓜蛋汤</t>
  </si>
  <si>
    <t>辣椒炒鸭肠、
空心菜、米饭</t>
  </si>
  <si>
    <t>葡萄、西瓜、
黄桃、绿豆沙冰</t>
  </si>
  <si>
    <t>包子，银耳汤，牛奶</t>
  </si>
  <si>
    <t>抄手</t>
  </si>
  <si>
    <t>糖醋排骨，丝瓜炒青豆，玉米排骨汤，凉拌折耳根</t>
  </si>
  <si>
    <t>素蒸包</t>
  </si>
  <si>
    <t>牛肉豆腐拌黄瓜丝 素蒸包 茶树菇鸭子汤</t>
  </si>
  <si>
    <t>胡萝卜牛肉虾仁洋葱蒸包 卤鸭腿</t>
  </si>
  <si>
    <t>芒果 绿豆汤</t>
  </si>
  <si>
    <t>胡萝卜烧排骨，皮蛋瘦肉粥</t>
  </si>
  <si>
    <t>皮蛋瘦肉粥，春卷等</t>
  </si>
  <si>
    <t>豆浆、鸡蛋</t>
  </si>
  <si>
    <t>茄子、土豆、大米</t>
  </si>
  <si>
    <t>挂面、豆腐皮</t>
  </si>
  <si>
    <t>甜酒冲南瓜丸子</t>
  </si>
  <si>
    <t>米饭、凉拌千张
辣椒炒鸭肠</t>
  </si>
  <si>
    <t>玉米馍馍、黄瓜汤</t>
  </si>
  <si>
    <t>玉米排骨汤</t>
  </si>
  <si>
    <t>四季豆、白豆炖猪蹄、鸡枞菌</t>
  </si>
  <si>
    <t>肠粉，面包，豆奶</t>
  </si>
  <si>
    <t>米饭，猪肉，青菜</t>
  </si>
  <si>
    <t>米饭，蛋包猪肉，鸡腿，青菜</t>
  </si>
  <si>
    <t>香蕉，西瓜</t>
  </si>
  <si>
    <t>牛肉胡萝卜洋葱虾仁蒸包</t>
  </si>
  <si>
    <t>茶树菇鸭子汤 素蒸包</t>
  </si>
  <si>
    <t>素蒸包 肉蒸包 柠檬黑虎虾</t>
  </si>
  <si>
    <t>酸奶麦片</t>
  </si>
  <si>
    <t>牛扒，土豆泥，白菜</t>
  </si>
  <si>
    <t>橘子</t>
  </si>
  <si>
    <t>挂面、鸡蛋</t>
  </si>
  <si>
    <t>土豆、茄子、玉米</t>
  </si>
  <si>
    <t xml:space="preserve"> 面条，干炸蘑菇</t>
  </si>
  <si>
    <t>哈密瓜</t>
  </si>
  <si>
    <t>丝瓜豆腐、米饭</t>
  </si>
  <si>
    <t>李子、苹果、
西瓜、酸奶</t>
  </si>
  <si>
    <t>玉米馍馍</t>
  </si>
  <si>
    <t>炖猪蹄</t>
  </si>
  <si>
    <t>甜椒肉丝，四季豆</t>
  </si>
  <si>
    <t>梨</t>
  </si>
  <si>
    <t>肠粉，豆奶</t>
  </si>
  <si>
    <t>粿条。牛肉丸，青菜</t>
  </si>
  <si>
    <t>米饭，鸡翅，青菜，猪肉</t>
  </si>
  <si>
    <t>茶树菇鸭子汤 牛肉胡萝卜蒸包  素蒸包</t>
  </si>
  <si>
    <t>甘蓝胡萝卜香菇蒸包 牛肉胡萝卜蒸包 豆腐丝土豆片拌黄瓜丝  茶树菇炖鸭子</t>
  </si>
  <si>
    <t>绿豆汤 桃子</t>
  </si>
  <si>
    <t>羊肉汤面、胡萝卜、皮蛋</t>
  </si>
  <si>
    <t>白菜、鸡蛋、米饭、春卷等</t>
  </si>
  <si>
    <t>橘子、酸奶</t>
  </si>
  <si>
    <t>稀粥，鸡蛋，玉米，馒头</t>
  </si>
  <si>
    <t>鱼香肉丝，大米</t>
  </si>
  <si>
    <t>稀粥，猪蹄，鸡蛋</t>
  </si>
  <si>
    <t>辣椒野猪肉、
千张黄瓜丝、
木耳鸡肉、米饭</t>
  </si>
  <si>
    <t>蛋炒饭，猪肉、鸡肉</t>
  </si>
  <si>
    <t>桃子、葡萄、西瓜</t>
  </si>
  <si>
    <t>包子，牛奶</t>
  </si>
  <si>
    <t>红烧鱼</t>
  </si>
  <si>
    <t>核桃、梨</t>
  </si>
  <si>
    <t>肠粉</t>
  </si>
  <si>
    <t>米饭，猪肉，蘑菇</t>
  </si>
  <si>
    <t>米饭，青菜，草鱼，猪肉</t>
  </si>
  <si>
    <t>牛肉胡萝卜蒸包</t>
  </si>
  <si>
    <t>柠檬深海虾 配素蒸包 卤鸭腿</t>
  </si>
  <si>
    <t>红烧香芋兔肉+蒸饼</t>
  </si>
  <si>
    <t>牛扒，白菜，米饭，春卷等</t>
  </si>
  <si>
    <t>土豆牛腩，米饭</t>
  </si>
  <si>
    <t>橘子，酸奶</t>
  </si>
  <si>
    <t>芝麻糊，鸡蛋</t>
  </si>
  <si>
    <t>豆角，茄子，饼子</t>
  </si>
  <si>
    <t>方便面，鸡蛋</t>
  </si>
  <si>
    <t>李子，哈密瓜，
西瓜，香蕉</t>
  </si>
  <si>
    <t>煎饺、豆浆、绿豆沙</t>
  </si>
  <si>
    <t>米饭、
丝瓜炒蛋、
红烧鱼</t>
  </si>
  <si>
    <t>米饭、
丝瓜豆腐汤、
红烧鱼、白菜炒腊肉</t>
  </si>
  <si>
    <t>鸡蛋，牛奶</t>
  </si>
  <si>
    <t>米线</t>
  </si>
  <si>
    <t>铁板烧</t>
  </si>
  <si>
    <t>红提，核桃，香蕉，火龙果，李子</t>
  </si>
  <si>
    <t>米线，牛肉，青菜</t>
  </si>
  <si>
    <t>米饭，蛋堡肉，鲈鱼，青菜</t>
  </si>
  <si>
    <t>红烧香芋兔肉</t>
  </si>
  <si>
    <t>红烧香芋  卤鸭腿 绿豆汤</t>
  </si>
  <si>
    <t>鲍鱼象拔蚌文蛤 粥</t>
  </si>
  <si>
    <t>红烧肉，土豆，米饭</t>
  </si>
  <si>
    <t>饺子，白菜</t>
  </si>
  <si>
    <t>豆浆，玉米，鸡蛋，馒头，
猪蹄</t>
  </si>
  <si>
    <t xml:space="preserve"> 羊肉火锅</t>
  </si>
  <si>
    <t>豆面</t>
  </si>
  <si>
    <t>葱油饼、煎饺、
某不知名含粉丝的油炸食物</t>
  </si>
  <si>
    <t>米饭、米粉鹅</t>
  </si>
  <si>
    <t>蛋炒饭、炒土豆、
虾仁丝瓜蛋汤</t>
  </si>
  <si>
    <t>酸奶、哈密瓜</t>
  </si>
  <si>
    <t>鱼火锅，玉米，番茄</t>
  </si>
  <si>
    <t>红龙果、桃子、梨、李子、苹果、核桃</t>
  </si>
  <si>
    <t>米饭，猪肉，羊排，青菜</t>
  </si>
  <si>
    <t>麻辣烫</t>
  </si>
  <si>
    <t>甘蓝胡萝卜香菇素蒸包</t>
  </si>
  <si>
    <t>土豆香芋炖兔肉</t>
  </si>
  <si>
    <t>土豆香芋炖兔肉 青菜  萝卜牛腩</t>
  </si>
  <si>
    <t>鸡腿，白菜，米饭</t>
  </si>
  <si>
    <t>米饭，红烧肉，白菜</t>
  </si>
  <si>
    <t>橘子，燕麦棒</t>
  </si>
  <si>
    <t>豆浆，鸡蛋</t>
  </si>
  <si>
    <t>油菜，菠菜、豆腐</t>
  </si>
  <si>
    <t>红豆粥，鸡蛋</t>
  </si>
  <si>
    <t>凉面</t>
  </si>
  <si>
    <t>蛋炒饭、
油豆腐炒鸡杂</t>
  </si>
  <si>
    <t>米饭、酸菜鱼、
油豆腐炒鸡杂</t>
  </si>
  <si>
    <t>桃子、酸奶</t>
  </si>
  <si>
    <t>包子</t>
  </si>
  <si>
    <t>糖醋排骨、黄瓜汤、藤藤菜</t>
  </si>
  <si>
    <t>蜂蜜、核桃、西瓜、火龙果、鹿茸</t>
  </si>
  <si>
    <t>凉面还是可以的</t>
  </si>
  <si>
    <t>天热少吃羊肉</t>
  </si>
  <si>
    <t>每天喝汤 吃水果，饮食清淡，不吃冷饮</t>
  </si>
  <si>
    <t>少盐，少糖，少辣，少油</t>
  </si>
  <si>
    <t>不喝饮料，不吃零食，开始吃早点</t>
  </si>
  <si>
    <t>早中晚餐都吃，不吃自己觉得不好的东西</t>
  </si>
  <si>
    <t>不吃自己觉得不好的东西</t>
  </si>
  <si>
    <t>营养均衡，多吃水果</t>
  </si>
  <si>
    <t>吃早餐，多吃蔬菜水果，少进含糖高的饮食</t>
  </si>
  <si>
    <t>鲍鱼 大八爪鱼  象拔蚌粥</t>
  </si>
  <si>
    <t>豆浆，鸡蛋，烤馒头</t>
  </si>
  <si>
    <t>油菜，鸡蛋，大米</t>
  </si>
  <si>
    <t>豆面，鸡蛋</t>
  </si>
  <si>
    <t>桃子</t>
  </si>
  <si>
    <t xml:space="preserve">     吃早餐失败</t>
  </si>
  <si>
    <t>米饭、酸菜鱼</t>
  </si>
  <si>
    <t>米饭、米粉肉、
四季豆、油豆腐</t>
  </si>
  <si>
    <t>绿豆汤、
散装辣条一袋、
几袋饼干</t>
  </si>
  <si>
    <t>炸鸡腿米饭白菜</t>
  </si>
  <si>
    <t>烤羊扒，炸酱面，生菜</t>
  </si>
  <si>
    <t>麦片棒，橘子</t>
  </si>
  <si>
    <t>鸡蛋、牛奶</t>
  </si>
  <si>
    <t>猪耳朵，玉米，丝瓜汤、炒土豆丝</t>
  </si>
  <si>
    <t>葡萄、核桃</t>
  </si>
  <si>
    <t>皮蛋牛肉粥</t>
  </si>
  <si>
    <t>藕片 小油菜 皮蛋牛肉粥</t>
  </si>
  <si>
    <t>疙瘩汤，烤馒头，鸡蛋</t>
  </si>
  <si>
    <t>芹菜，包子</t>
  </si>
  <si>
    <t>火锅</t>
  </si>
  <si>
    <t xml:space="preserve"> 吃早餐失败</t>
  </si>
  <si>
    <t>米饭、花甲、
某不知名蔬菜、
黄豆芽</t>
  </si>
  <si>
    <t>蛋炒饭、
木耳干豆皮、
鸡蛋豆腐某某汤</t>
  </si>
  <si>
    <t>绿豆汤&amp;沙、
桃子</t>
  </si>
  <si>
    <t>烤羊扒，白菜，米饭</t>
  </si>
  <si>
    <t>烤猪扒，生菜，鸡蛋面</t>
  </si>
  <si>
    <t>香蕉、橘子、麦片棒</t>
  </si>
  <si>
    <t>蒸蛋、牛奶</t>
  </si>
  <si>
    <t>抄手（白菜）</t>
  </si>
  <si>
    <t>蒜苗回锅肉，黄瓜汤、炒玉米</t>
  </si>
  <si>
    <t>红提，核桃、蜂蜜</t>
  </si>
  <si>
    <t>叉烧包，牛奶</t>
  </si>
  <si>
    <t>米饭，煎蛋，香菇，猪肉</t>
  </si>
  <si>
    <t>米饭，鸡排，豆笋，蛋包肉</t>
  </si>
  <si>
    <t>素蒸包x2</t>
  </si>
  <si>
    <t>卤鸭肉炒西红柿小油菜香菇+素蒸包</t>
  </si>
  <si>
    <t>蛋汤，包子</t>
  </si>
  <si>
    <t>鸡腿，鱼香肉丝，大米</t>
  </si>
  <si>
    <t>挂面，鸡蛋</t>
  </si>
  <si>
    <t>鸡蛋一个</t>
  </si>
  <si>
    <t>米饭、鸡腿</t>
  </si>
  <si>
    <t>米饭、外面买的卤鸭子、
自制小龙虾、</t>
  </si>
  <si>
    <t>葡萄、西瓜、绿豆汤</t>
  </si>
  <si>
    <t>烤猪扒，白菜，米饭</t>
  </si>
  <si>
    <t>饺子，白菜，烤猪扒</t>
  </si>
  <si>
    <t>香蕉、橘子、坚果</t>
  </si>
  <si>
    <t>粽子</t>
  </si>
  <si>
    <t>甜椒肉丝、土豆、丝瓜</t>
  </si>
  <si>
    <t>核桃、葡萄</t>
  </si>
  <si>
    <t>肉松包，蛋糕，豆奶</t>
  </si>
  <si>
    <t>米饭，酸菜，照烧鸡，白菜</t>
  </si>
  <si>
    <t>米饭，鸡翅，煎鸡（没有青菜。。）</t>
  </si>
  <si>
    <t>西红柿鸭肉面条</t>
  </si>
  <si>
    <t>青菜 米饭 蒸鲳鱼</t>
  </si>
  <si>
    <t>玉米窝头 牛肉炒青菜 炒藕 鲍鱼山药汤</t>
  </si>
  <si>
    <t>蛋炒饭、苦瓜炒鸡蛋、</t>
  </si>
  <si>
    <t>自制牛肉粉丝</t>
  </si>
  <si>
    <t>烧烤、绿豆汤</t>
  </si>
  <si>
    <t>花菜、牛肉、米饭</t>
  </si>
  <si>
    <t>香蕉、坚果、冰淇淋</t>
  </si>
  <si>
    <t>粽子、银耳汤</t>
  </si>
  <si>
    <t>炒土豆丝，丝瓜汤</t>
  </si>
  <si>
    <t>糖醋排骨，白菜豆腐汤，藤藤菜，凉拌黄瓜</t>
  </si>
  <si>
    <t>核桃，苹果，葡萄</t>
  </si>
  <si>
    <t>肉松包，蛋糕，牛奶</t>
  </si>
  <si>
    <t>鸡翅，青瓜，米饭</t>
  </si>
  <si>
    <t>烤肉，米饭，包菜</t>
  </si>
  <si>
    <t>玉米窝头 小白菜，煎蛋</t>
  </si>
  <si>
    <t>黄瓜拌银耳 蒸梭子蟹 梭子蟹粥</t>
  </si>
  <si>
    <t>牛肉莲藕虾仁洋葱蒸饺 水饺 梭子蟹粥</t>
  </si>
  <si>
    <t>豆腐脑，鸡蛋</t>
  </si>
  <si>
    <t>肯德基</t>
  </si>
  <si>
    <t>米汉堡</t>
  </si>
  <si>
    <t>两个小面包</t>
  </si>
  <si>
    <t>米饭、白菜、豆芽、
鸡肉粉丝</t>
  </si>
  <si>
    <t>花菜牛肉米饭</t>
  </si>
  <si>
    <t>香蕉、橘子、冰淇淋</t>
  </si>
  <si>
    <t>牛奶，鸡蛋</t>
  </si>
  <si>
    <t>汉堡王</t>
  </si>
  <si>
    <t>石锅鱼，四季元春，土豆丝，冬瓜汤</t>
  </si>
  <si>
    <t>玫瑰糍粑冰粉</t>
  </si>
  <si>
    <t>虾饺。肠粉</t>
  </si>
  <si>
    <t>椰奶包，煎饺，干炒牛河，蛋糕</t>
  </si>
  <si>
    <t>鸡排，白菜，米饭，酸奶</t>
  </si>
  <si>
    <t>牛肉莲藕洋葱饺子，蟹粥，葱油饼，蛋黄酥</t>
  </si>
  <si>
    <t>米饭，菜心炒牛肉，螃蟹</t>
  </si>
  <si>
    <t>香菇猴头菇竹荪黄瓜章鱼足汤，窝窝头，牛肉炒藕片</t>
  </si>
  <si>
    <t>李子 芒果 桃子</t>
  </si>
  <si>
    <t>火腿，包子</t>
  </si>
  <si>
    <t>白菜，鸡肉，大米</t>
  </si>
  <si>
    <t>大米，白菜，鸭肉</t>
  </si>
  <si>
    <t>包子、玉米、
优酸乳</t>
  </si>
  <si>
    <t>泡面、火腿肠、
面包</t>
  </si>
  <si>
    <t>米饭、白菜、
黄豆猪蹄</t>
  </si>
  <si>
    <t>苹果、香蕉</t>
  </si>
  <si>
    <t>胡萝卜烧排骨，米饭</t>
  </si>
  <si>
    <t>排骨，蛋炒饭</t>
  </si>
  <si>
    <t>酸奶，橘子，坚果</t>
  </si>
  <si>
    <t>红烧鱼，土豆丝</t>
  </si>
  <si>
    <t>牛排</t>
  </si>
  <si>
    <t xml:space="preserve"> 肉松包，酸奶</t>
  </si>
  <si>
    <t>鸡块，通心菜，米饭</t>
  </si>
  <si>
    <t>烤肉，豆角，青菜，米饭</t>
  </si>
  <si>
    <t>葱油拌面，煎蛋，小米粥</t>
  </si>
  <si>
    <t>木耳黄瓜胡萝卜，洋葱牛肉碎炒面，小米粥</t>
  </si>
  <si>
    <t>牛肉葱包子 茶树菇冬瓜炖鸭肉</t>
  </si>
  <si>
    <t>芒果李子</t>
  </si>
  <si>
    <t>面包，苹果</t>
  </si>
  <si>
    <t>大米，豆角，小蘑菇</t>
  </si>
  <si>
    <t>包子、肉丸、
红薯、优酸乳</t>
  </si>
  <si>
    <t>米饭、
辣椒炒鱿鱼、
芹菜金针菇肉丝</t>
  </si>
  <si>
    <t>薯片、饼干</t>
  </si>
  <si>
    <t>卫龙辣条、
火腿肠</t>
  </si>
  <si>
    <t>烤羊扒、花菜、米饭</t>
  </si>
  <si>
    <t>烤羊扒、生菜、米饭</t>
  </si>
  <si>
    <t>酸奶、橘子</t>
  </si>
  <si>
    <t>汤圆</t>
  </si>
  <si>
    <t>肯德基汉堡薯条🍟</t>
  </si>
  <si>
    <t>煎蛋，炒面，酸奶</t>
  </si>
  <si>
    <t>鸡翅，包菜，米饭</t>
  </si>
  <si>
    <t>意面，青菜，墨鱼丸</t>
  </si>
  <si>
    <t>不吃自己觉得不健康的东西</t>
  </si>
  <si>
    <t>牛肉大葱馅包子，小米粥</t>
  </si>
  <si>
    <t>玉米糊，蚝油生菜，玉米窝头</t>
  </si>
  <si>
    <t>牛肉荸荠干菜莲藕包、火烧</t>
  </si>
  <si>
    <t>芒果银耳羹 绿豆汤</t>
  </si>
  <si>
    <t>胡萝卜烧排骨、米饭</t>
  </si>
  <si>
    <t>火锅、米饭</t>
  </si>
  <si>
    <t>坚果</t>
  </si>
  <si>
    <t>鸡蛋、饼子、粥</t>
  </si>
  <si>
    <t>大米，白菜裹肉</t>
  </si>
  <si>
    <t>面条</t>
  </si>
  <si>
    <t>鸡蛋，红薯，包子</t>
  </si>
  <si>
    <t>白菜，鸡肉</t>
  </si>
  <si>
    <t>香蕉、苹果</t>
  </si>
  <si>
    <t>米饭、虾、花菜</t>
  </si>
  <si>
    <t>牛杂面</t>
  </si>
  <si>
    <t>牛肉荸荠干菜莲藕包，小米粥</t>
  </si>
  <si>
    <t>糖醋木耳莲藕，牛肉荸荠干菜莲藕包，竹荪香菇虾米汤</t>
  </si>
  <si>
    <t>糖醋木耳莲藕，牛肉荸荠干菜莲藕包，香煎带鱼，糖醋带鱼</t>
  </si>
  <si>
    <t>桃子 绿豆汤</t>
  </si>
  <si>
    <t>排骨、洋葱炒鸡胸肉、米饭</t>
  </si>
  <si>
    <t>饺子、鸡腿</t>
  </si>
  <si>
    <t>酸奶、冰淇淋</t>
  </si>
  <si>
    <t>鸡蛋，粥，包子</t>
  </si>
  <si>
    <t>豆腐，木耳、大米</t>
  </si>
  <si>
    <t>玉米粒和虾仁</t>
  </si>
  <si>
    <t>红薯，烤肠</t>
  </si>
  <si>
    <t>披萨</t>
  </si>
  <si>
    <t>米饭、鱼、
油豆腐、绿豆汤</t>
  </si>
  <si>
    <t>烤冷面</t>
  </si>
  <si>
    <t>小米大枣山药粥，红薯，牛肉荸荠干菜莲藕包，糖醋带鱼</t>
  </si>
  <si>
    <t>小米大枣山药粥，葱油饼，葱炒油麦菜，蒸饼</t>
  </si>
  <si>
    <t>葱油饼，蒸饼，萝卜虾米豆腐汤，茶树菇猴头菇鸡肉汤</t>
  </si>
  <si>
    <t>羊肉面、胡萝卜</t>
  </si>
  <si>
    <t>韭菜鸡蛋、鸡腿、米饭</t>
  </si>
  <si>
    <t>橘子、坚果</t>
  </si>
  <si>
    <t xml:space="preserve"> 豆腐皮，西红柿炒鸡蛋</t>
  </si>
  <si>
    <t>豆腐皮</t>
  </si>
  <si>
    <t>土豆，四季豆</t>
  </si>
  <si>
    <t>米饭、黑豆角、香干</t>
  </si>
  <si>
    <t>茶树菇猴头菇枸杞大枣鸡肉汤面，小米红薯大枣粥</t>
  </si>
  <si>
    <t>海底捞番茄汤+牛肉萝卜玉米汤底，配黄喉少量，牛千层肚少量，茼蒿，生菜，响铃卷，蟹腿棒，扯面，配碎牛肉碎花生芝麻花生酱，腐乳，蒜末，葱末，香菜末。 海底捞的拌豆腐小菜</t>
  </si>
  <si>
    <t>番茄汤底香菇黄瓜土豆烩麻食，黄瓜炒山药片</t>
  </si>
  <si>
    <t>芒果 芭乐，水果黄瓜 绿豆汤 银耳羹</t>
  </si>
  <si>
    <t>水煮牛肉、米饭</t>
  </si>
  <si>
    <t>坚果，草莓</t>
  </si>
  <si>
    <t>菜叶和豆腐</t>
  </si>
  <si>
    <t>烧卖，豆浆，煎蛋</t>
  </si>
  <si>
    <t>玉米鸭子汤</t>
  </si>
  <si>
    <t>土豆丝拌饭</t>
  </si>
  <si>
    <t>肉包、某种糕、
紫薯粥</t>
  </si>
  <si>
    <t>辣椒炒鸡肉、
蔬菜(忘了)、米饭</t>
  </si>
  <si>
    <t>番茄汤底香菇黄瓜土豆烩麻食，煎蛋半个</t>
  </si>
  <si>
    <t>烧鹅配米饭</t>
  </si>
  <si>
    <t>烧鹅配油麦菜配碱水面</t>
  </si>
  <si>
    <t>橙子绿豆汤 海底捞小吃 开心果 葡萄干</t>
  </si>
  <si>
    <t>西兰花炒牛肉</t>
  </si>
  <si>
    <t>茄子，豆角，大米</t>
  </si>
  <si>
    <t>豆腐</t>
  </si>
  <si>
    <t>欣园冒菜</t>
  </si>
  <si>
    <t>橘子，卡乐比燕麦，威化饼</t>
  </si>
  <si>
    <t>米饭、
苦瓜炒鸡蛋、
豆芽豆腐蘑菇(菜)</t>
  </si>
  <si>
    <t>茶树菇猴头菇枸杞大枣鸡肉汤</t>
  </si>
  <si>
    <t>鲜虾云吞配生菜</t>
  </si>
  <si>
    <t>黑椒鱼排配意大利面配西蓝花胡萝卜菜花</t>
  </si>
  <si>
    <t>橙子绿豆汤 海底捞爆米花 葡萄干 开心果</t>
  </si>
  <si>
    <t>烤羊扒，茼蒿、米饭</t>
  </si>
  <si>
    <t>烤羊扒、韭菜鸡蛋、米饭</t>
  </si>
  <si>
    <t>香蕉，坚果，冰淇淋</t>
  </si>
  <si>
    <t>鸡腿，大米，鸡蛋</t>
  </si>
  <si>
    <t>烧麦，豆浆，煎蛋</t>
  </si>
  <si>
    <t>咖喱牛腩</t>
  </si>
  <si>
    <t>酸溜白菜</t>
  </si>
  <si>
    <t>橘子，卡乐比</t>
  </si>
  <si>
    <t>肉包、某糕点、
鸡蛋🥚</t>
  </si>
  <si>
    <t>莴笋炒肉、米饭</t>
  </si>
  <si>
    <t>两盒唯唯黑豆奶</t>
  </si>
  <si>
    <t>猪扒、生菜、米饭</t>
  </si>
  <si>
    <t>猪扒、白菜、米饭</t>
  </si>
  <si>
    <t>香蕉、坚果</t>
  </si>
  <si>
    <t>油菜，西红柿炒鸡蛋</t>
  </si>
  <si>
    <t>土豆牛肉，白菜</t>
  </si>
  <si>
    <t>炒粉、香肠、
烧麦包(？)</t>
  </si>
  <si>
    <t>八宝粥一罐、
黑豆奶一盒</t>
  </si>
  <si>
    <t>牛杂面、
黑豆奶一盒</t>
  </si>
  <si>
    <t>当日任务列表</t>
  </si>
  <si>
    <t>当日情绪</t>
  </si>
  <si>
    <t>坏情绪梳理（粘贴石墨文档链接）</t>
  </si>
  <si>
    <t>java复习</t>
  </si>
  <si>
    <r>
      <rPr>
        <rFont val="等线"/>
        <scheme val="minor"/>
        <strike val="true"/>
        <sz val="9.0"/>
      </rPr>
      <t xml:space="preserve">1. 准备报告</t>
    </r>
    <r>
      <rPr>
        <rFont val="等线"/>
        <scheme val="minor"/>
        <sz val="9.0"/>
      </rPr>
      <t xml:space="preserve">，2. lab notebook，3. scirate</t>
    </r>
  </si>
  <si>
    <t>1 看两页世界史 2练习小钟琴</t>
  </si>
  <si>
    <r>
      <rPr>
        <rFont val="等线"/>
        <scheme val="minor"/>
        <strike val="true"/>
        <sz val="9.0"/>
      </rPr>
      <t xml:space="preserve">完成生物论文
准备体育考试</t>
    </r>
    <r>
      <rPr>
        <rFont val="等线"/>
        <scheme val="minor"/>
        <sz val="9.0"/>
      </rPr>
      <t xml:space="preserve">
看四级真题</t>
    </r>
  </si>
  <si>
    <r>
      <rPr>
        <rFont val="等线"/>
        <scheme val="minor"/>
        <strike val="true"/>
        <sz val="9.0"/>
      </rPr>
      <t xml:space="preserve">1. 上课2h</t>
    </r>
    <r>
      <rPr>
        <rFont val="等线"/>
        <scheme val="minor"/>
        <sz val="9.0"/>
      </rPr>
      <t xml:space="preserve">，2. 看录像，3. lab notebook，4. scirate</t>
    </r>
  </si>
  <si>
    <t>没规划</t>
  </si>
  <si>
    <t>正常</t>
  </si>
  <si>
    <t xml:space="preserve">准备四级
</t>
  </si>
  <si>
    <r>
      <rPr>
        <rFont val="等线"/>
        <scheme val="minor"/>
        <sz val="9.0"/>
      </rPr>
      <t xml:space="preserve">1. 上课，2. 量子化学，</t>
    </r>
    <r>
      <rPr>
        <rFont val="等线"/>
        <scheme val="minor"/>
        <strike val="true"/>
        <sz val="9.0"/>
      </rPr>
      <t xml:space="preserve">3. scirate</t>
    </r>
  </si>
  <si>
    <t>1. 核算绩效 2.写文章 3.准备汤 4. 采购</t>
  </si>
  <si>
    <t>复习英语，看专业书籍</t>
  </si>
  <si>
    <t>情绪有点淡淡的忧伤，可能是天气原因？</t>
  </si>
  <si>
    <r>
      <rPr>
        <rFont val="等线"/>
        <scheme val="minor"/>
        <sz val="9.0"/>
      </rPr>
      <t xml:space="preserve">1. 量子化学，2. lab notebook，</t>
    </r>
    <r>
      <rPr>
        <rFont val="等线"/>
        <scheme val="minor"/>
        <strike val="true"/>
        <sz val="9.0"/>
      </rPr>
      <t xml:space="preserve">3. 上课，4. scirate</t>
    </r>
  </si>
  <si>
    <t>学习java</t>
  </si>
  <si>
    <r>
      <rPr>
        <rFont val="等线"/>
        <scheme val="minor"/>
        <strike val="true"/>
        <sz val="9.0"/>
      </rPr>
      <t xml:space="preserve">1. 上课，2. scirate</t>
    </r>
    <r>
      <rPr>
        <rFont val="等线"/>
        <scheme val="minor"/>
        <sz val="9.0"/>
      </rPr>
      <t xml:space="preserve">，3. 量子化学，4. lab notebook，</t>
    </r>
    <r>
      <rPr>
        <rFont val="等线"/>
        <scheme val="minor"/>
        <strike val="true"/>
        <sz val="9.0"/>
      </rPr>
      <t xml:space="preserve">5. 看文章</t>
    </r>
  </si>
  <si>
    <t>开心^_^</t>
  </si>
  <si>
    <r>
      <rPr>
        <rFont val="等线"/>
        <scheme val="minor"/>
        <strike val="true"/>
        <sz val="9.0"/>
      </rPr>
      <t xml:space="preserve">1. 上课</t>
    </r>
    <r>
      <rPr>
        <rFont val="等线"/>
        <scheme val="minor"/>
        <sz val="9.0"/>
      </rPr>
      <t xml:space="preserve">，2. 量子化学，3. lab notebook，4. 看文章</t>
    </r>
  </si>
  <si>
    <t>学习java、学习管子</t>
  </si>
  <si>
    <t>战拖</t>
  </si>
  <si>
    <t>1. 每日列出任务清单并完成至少一项即可达标</t>
  </si>
  <si>
    <t>三天达标</t>
  </si>
  <si>
    <t>治情</t>
  </si>
  <si>
    <t xml:space="preserve"> 尽量不闹情绪.闹情绪后要简单标记情绪，并写文章梳理原因。</t>
  </si>
  <si>
    <t>请根据成功与否主动标注颜色</t>
  </si>
  <si>
    <t>成功</t>
  </si>
  <si>
    <t>失败</t>
  </si>
  <si>
    <r>
      <rPr>
        <rFont val="等线"/>
        <scheme val="minor"/>
        <sz val="9.0"/>
      </rPr>
      <t xml:space="preserve">1. </t>
    </r>
    <r>
      <rPr>
        <rFont val="等线"/>
        <scheme val="minor"/>
        <strike val="true"/>
        <sz val="9.0"/>
      </rPr>
      <t xml:space="preserve">学习沟通技巧第一课。 2.学社活动推动</t>
    </r>
    <r>
      <rPr>
        <rFont val="等线"/>
        <scheme val="minor"/>
        <sz val="9.0"/>
      </rPr>
      <t xml:space="preserve"> </t>
    </r>
    <r>
      <rPr>
        <rFont val="等线"/>
        <scheme val="minor"/>
        <sz val="9.0"/>
        <color rgb="FE2C23"/>
      </rPr>
      <t xml:space="preserve">3. 备课讲稿雏形</t>
    </r>
    <r>
      <rPr>
        <rFont val="等线"/>
        <scheme val="minor"/>
        <sz val="9.0"/>
      </rPr>
      <t xml:space="preserve"> </t>
    </r>
    <r>
      <rPr>
        <rFont val="等线"/>
        <scheme val="minor"/>
        <strike val="true"/>
        <sz val="9.0"/>
      </rPr>
      <t>4.讲稿审阅</t>
    </r>
  </si>
  <si>
    <r>
      <rPr>
        <rFont val="等线"/>
        <scheme val="minor"/>
        <sz val="9.0"/>
        <color rgb="FE2C23"/>
      </rPr>
      <t xml:space="preserve">1. 论文笔记</t>
    </r>
    <r>
      <rPr>
        <rFont val="等线"/>
        <scheme val="minor"/>
        <sz val="9.0"/>
      </rPr>
      <t>，</t>
    </r>
    <r>
      <rPr>
        <rFont val="等线"/>
        <scheme val="minor"/>
        <strike val="true"/>
        <sz val="9.0"/>
      </rPr>
      <t xml:space="preserve">2. 实验文章修改，</t>
    </r>
    <r>
      <rPr>
        <rFont val="等线"/>
        <scheme val="minor"/>
        <sz val="9.0"/>
      </rPr>
      <t xml:space="preserve"> </t>
    </r>
    <r>
      <rPr>
        <rFont val="等线"/>
        <scheme val="minor"/>
        <strike val="true"/>
        <sz val="9.0"/>
      </rPr>
      <t xml:space="preserve">3. 学术成果统计</t>
    </r>
  </si>
  <si>
    <t>1 准备英文邮件内容 2 写软件 3 乐理</t>
  </si>
  <si>
    <r>
      <rPr>
        <rFont val="等线"/>
        <scheme val="minor"/>
        <strike val="true"/>
        <sz val="9.0"/>
      </rPr>
      <t xml:space="preserve">1. 备课讲稿完</t>
    </r>
    <r>
      <rPr>
        <rFont val="等线"/>
        <scheme val="minor"/>
        <sz val="9.0"/>
      </rPr>
      <t>成</t>
    </r>
    <r>
      <rPr>
        <rFont val="等线"/>
        <scheme val="minor"/>
        <strike val="true"/>
        <sz val="9.0"/>
      </rPr>
      <t xml:space="preserve"> 2. 审稿子 3.销售技巧学习</t>
    </r>
  </si>
  <si>
    <r>
      <rPr>
        <rFont val="等线"/>
        <scheme val="minor"/>
        <strike val="true"/>
        <sz val="9.0"/>
        <color rgb="000000"/>
      </rPr>
      <t xml:space="preserve">1.健身
2.推送初稿</t>
    </r>
    <r>
      <rPr>
        <rFont val="等线"/>
        <scheme val="minor"/>
        <sz val="9.0"/>
        <color rgb="000000"/>
      </rPr>
      <t xml:space="preserve">
</t>
    </r>
    <r>
      <rPr>
        <rFont val="等线"/>
        <scheme val="minor"/>
        <sz val="9.0"/>
        <color rgb="FE2C23"/>
      </rPr>
      <t>3.制定合理降低标准的计划</t>
    </r>
  </si>
  <si>
    <t>早晨：思虑过重
（前几日生活状态没有调整，心中信息混乱导致）
中午：正常</t>
  </si>
  <si>
    <r>
      <rPr>
        <rFont val="等线"/>
        <scheme val="minor"/>
        <strike val="true"/>
        <sz val="9.0"/>
      </rPr>
      <t xml:space="preserve">1. presentation练习</t>
    </r>
    <r>
      <rPr>
        <rFont val="等线"/>
        <scheme val="minor"/>
        <sz val="9.0"/>
      </rPr>
      <t xml:space="preserve">，2. cover letter 写一稿</t>
    </r>
    <r>
      <rPr>
        <rFont val="等线"/>
        <scheme val="minor"/>
        <sz val="9.0"/>
        <color rgb="FE2C23"/>
      </rPr>
      <t>（最后只写了一段）</t>
    </r>
    <r>
      <rPr>
        <rFont val="等线"/>
        <scheme val="minor"/>
        <sz val="9.0"/>
      </rPr>
      <t>，</t>
    </r>
    <r>
      <rPr>
        <rFont val="等线"/>
        <scheme val="minor"/>
        <strike val="true"/>
        <sz val="9.0"/>
      </rPr>
      <t xml:space="preserve">3. scirate</t>
    </r>
    <r>
      <rPr>
        <rFont val="等线"/>
        <scheme val="minor"/>
        <sz val="9.0"/>
      </rPr>
      <t>，</t>
    </r>
    <r>
      <rPr>
        <rFont val="等线"/>
        <scheme val="minor"/>
        <sz val="9.0"/>
        <color rgb="FE2C23"/>
      </rPr>
      <t xml:space="preserve">4. 思考BDD or 整理文章</t>
    </r>
  </si>
  <si>
    <r>
      <rPr>
        <rFont val="等线"/>
        <scheme val="minor"/>
        <sz val="9.0"/>
        <color rgb="FE2C23"/>
      </rPr>
      <t xml:space="preserve">1 准备英文邮件内容</t>
    </r>
    <r>
      <rPr>
        <rFont val="等线"/>
        <scheme val="minor"/>
        <strike val="true"/>
        <sz val="9.0"/>
      </rPr>
      <t xml:space="preserve"> 2 写软件 3乐理</t>
    </r>
  </si>
  <si>
    <r>
      <rPr>
        <rFont val="等线"/>
        <scheme val="minor"/>
        <sz val="9.0"/>
      </rPr>
      <t xml:space="preserve">1.python
</t>
    </r>
    <r>
      <rPr>
        <rFont val="等线"/>
        <scheme val="minor"/>
        <strike val="true"/>
        <sz val="9.0"/>
      </rPr>
      <t>2.工作</t>
    </r>
    <r>
      <rPr>
        <rFont val="等线"/>
        <scheme val="minor"/>
        <sz val="9.0"/>
      </rPr>
      <t xml:space="preserve">
</t>
    </r>
  </si>
  <si>
    <t>今日高考，不知怎滴，心情有些激动</t>
  </si>
  <si>
    <t>python没学，有点失落</t>
  </si>
  <si>
    <t>1.3000言回顾
2.实验方法预习
3.</t>
  </si>
  <si>
    <r>
      <rPr>
        <rFont val="等线"/>
        <scheme val="minor"/>
        <strike val="true"/>
        <sz val="9.0"/>
      </rPr>
      <t xml:space="preserve">1. 批改笔记</t>
    </r>
    <r>
      <rPr>
        <rFont val="等线"/>
        <scheme val="minor"/>
        <sz val="9.0"/>
      </rPr>
      <t xml:space="preserve"> </t>
    </r>
    <r>
      <rPr>
        <rFont val="等线"/>
        <scheme val="minor"/>
        <sz val="9.0"/>
        <color rgb="FE2C23"/>
      </rPr>
      <t xml:space="preserve">2. 学社活动推送</t>
    </r>
    <r>
      <rPr>
        <rFont val="等线"/>
        <scheme val="minor"/>
        <strike val="true"/>
        <sz val="9.0"/>
        <color rgb="FE2C23"/>
      </rPr>
      <t xml:space="preserve"> 3</t>
    </r>
    <r>
      <rPr>
        <rFont val="等线"/>
        <scheme val="minor"/>
        <strike val="true"/>
        <sz val="9.0"/>
      </rPr>
      <t xml:space="preserve">. 销售技巧学习</t>
    </r>
  </si>
  <si>
    <t>正常（因为天气缘故略感压抑）</t>
  </si>
  <si>
    <r>
      <rPr>
        <rFont val="等线"/>
        <scheme val="minor"/>
        <sz val="9.0"/>
      </rPr>
      <t>1</t>
    </r>
    <r>
      <rPr>
        <rFont val="等线"/>
        <scheme val="minor"/>
        <strike val="true"/>
        <sz val="9.0"/>
      </rPr>
      <t xml:space="preserve">.招生宣传 2.注册四六级 </t>
    </r>
    <r>
      <rPr>
        <rFont val="等线"/>
        <scheme val="minor"/>
        <sz val="9.0"/>
        <color rgb="FE2C23"/>
      </rPr>
      <t>3制定计划</t>
    </r>
  </si>
  <si>
    <t>晚上：心中焦躁（不知原因）</t>
  </si>
  <si>
    <r>
      <rPr>
        <rFont val="等线"/>
        <scheme val="minor"/>
        <strike val="true"/>
        <sz val="9.0"/>
      </rPr>
      <t xml:space="preserve">1. 思考BDD</t>
    </r>
    <r>
      <rPr>
        <rFont val="等线"/>
        <scheme val="minor"/>
        <sz val="9.0"/>
      </rPr>
      <t>，</t>
    </r>
    <r>
      <rPr>
        <rFont val="等线"/>
        <scheme val="minor"/>
        <strike val="true"/>
        <sz val="9.0"/>
      </rPr>
      <t xml:space="preserve">2. 整理文章</t>
    </r>
    <r>
      <rPr>
        <rFont val="等线"/>
        <scheme val="minor"/>
        <sz val="9.0"/>
      </rPr>
      <t>，</t>
    </r>
    <r>
      <rPr>
        <rFont val="等线"/>
        <scheme val="minor"/>
        <strike val="true"/>
        <sz val="9.0"/>
      </rPr>
      <t xml:space="preserve">3. cover letter再写一两段</t>
    </r>
    <r>
      <rPr>
        <rFont val="等线"/>
        <scheme val="minor"/>
        <sz val="9.0"/>
      </rPr>
      <t>，</t>
    </r>
    <r>
      <rPr>
        <rFont val="等线"/>
        <scheme val="minor"/>
        <strike val="true"/>
        <sz val="9.0"/>
      </rPr>
      <t xml:space="preserve">4. scirate</t>
    </r>
  </si>
  <si>
    <t>1 写数学文章 2 写软件 3乐理</t>
  </si>
  <si>
    <r>
      <rPr>
        <rFont val="等线"/>
        <scheme val="minor"/>
        <strike val="true"/>
        <sz val="9.0"/>
      </rPr>
      <t>1.python</t>
    </r>
    <r>
      <rPr>
        <rFont val="等线"/>
        <scheme val="minor"/>
        <sz val="9.0"/>
      </rPr>
      <t xml:space="preserve">
</t>
    </r>
    <r>
      <rPr>
        <rFont val="等线"/>
        <scheme val="minor"/>
        <strike val="true"/>
        <sz val="9.0"/>
      </rPr>
      <t>2.看书</t>
    </r>
  </si>
  <si>
    <r>
      <rPr>
        <rFont val="等线"/>
        <scheme val="minor"/>
        <strike val="true"/>
        <sz val="9.0"/>
      </rPr>
      <t xml:space="preserve">1. ppt制作 2. 讲稿复核修改</t>
    </r>
    <r>
      <rPr>
        <rFont val="等线"/>
        <scheme val="minor"/>
        <sz val="9.0"/>
      </rPr>
      <t xml:space="preserve"> </t>
    </r>
    <r>
      <rPr>
        <rFont val="等线"/>
        <scheme val="minor"/>
        <strike val="true"/>
        <sz val="9.0"/>
      </rPr>
      <t xml:space="preserve">3. 销售技巧学习 4. 找老师沟通</t>
    </r>
    <r>
      <rPr>
        <rFont val="等线"/>
        <scheme val="minor"/>
        <sz val="9.0"/>
      </rPr>
      <t xml:space="preserve"> </t>
    </r>
    <r>
      <rPr>
        <rFont val="等线"/>
        <scheme val="minor"/>
        <strike val="true"/>
        <sz val="9.0"/>
      </rPr>
      <t xml:space="preserve">5. 学社活动推动</t>
    </r>
  </si>
  <si>
    <t xml:space="preserve">正常 </t>
  </si>
  <si>
    <t>1.制定计划</t>
  </si>
  <si>
    <r>
      <rPr>
        <rFont val="等线"/>
        <scheme val="minor"/>
        <strike val="true"/>
        <sz val="9.0"/>
      </rPr>
      <t xml:space="preserve">1. pennylane</t>
    </r>
    <r>
      <rPr>
        <rFont val="等线"/>
        <scheme val="minor"/>
        <sz val="9.0"/>
      </rPr>
      <t>，</t>
    </r>
    <r>
      <rPr>
        <rFont val="等线"/>
        <scheme val="minor"/>
        <sz val="9.0"/>
        <color rgb="FE2C23"/>
      </rPr>
      <t xml:space="preserve">2. cover letter</t>
    </r>
    <r>
      <rPr>
        <rFont val="等线"/>
        <scheme val="minor"/>
        <sz val="9.0"/>
      </rPr>
      <t>，</t>
    </r>
    <r>
      <rPr>
        <rFont val="等线"/>
        <scheme val="minor"/>
        <strike val="true"/>
        <sz val="9.0"/>
      </rPr>
      <t xml:space="preserve">3. scirate</t>
    </r>
    <r>
      <rPr>
        <rFont val="等线"/>
        <scheme val="minor"/>
        <sz val="9.0"/>
      </rPr>
      <t>，</t>
    </r>
    <r>
      <rPr>
        <rFont val="等线"/>
        <scheme val="minor"/>
        <sz val="9.0"/>
        <color rgb="FE2C23"/>
      </rPr>
      <t xml:space="preserve">4. paper review</t>
    </r>
  </si>
  <si>
    <t>1.python</t>
  </si>
  <si>
    <t>当日完成度不够，有些气馁</t>
  </si>
  <si>
    <t>孟批注：别气馁，要有韧性</t>
  </si>
  <si>
    <r>
      <rPr>
        <rFont val="等线"/>
        <scheme val="minor"/>
        <strike val="true"/>
        <sz val="9.0"/>
      </rPr>
      <t xml:space="preserve">1.ppt 完成</t>
    </r>
    <r>
      <rPr>
        <rFont val="等线"/>
        <scheme val="minor"/>
        <sz val="9.0"/>
      </rPr>
      <t xml:space="preserve"> </t>
    </r>
    <r>
      <rPr>
        <rFont val="等线"/>
        <scheme val="minor"/>
        <strike val="true"/>
        <sz val="9.0"/>
      </rPr>
      <t>2.备课组推动</t>
    </r>
    <r>
      <rPr>
        <rFont val="等线"/>
        <scheme val="minor"/>
        <sz val="9.0"/>
      </rPr>
      <t xml:space="preserve"> 3</t>
    </r>
    <r>
      <rPr>
        <rFont val="等线"/>
        <scheme val="minor"/>
        <strike val="true"/>
        <sz val="9.0"/>
      </rPr>
      <t xml:space="preserve">.听一耳朵香港组会 </t>
    </r>
    <r>
      <rPr>
        <rFont val="等线"/>
        <scheme val="minor"/>
        <sz val="9.0"/>
      </rPr>
      <t>4</t>
    </r>
    <r>
      <rPr>
        <rFont val="等线"/>
        <scheme val="minor"/>
        <strike val="true"/>
        <sz val="9.0"/>
      </rPr>
      <t xml:space="preserve">.学社活动推动 5.高考作文看看  6. 销售技巧学习 7. 处理鲍鱼</t>
    </r>
  </si>
  <si>
    <r>
      <rPr>
        <rFont val="等线"/>
        <scheme val="minor"/>
        <strike val="true"/>
        <sz val="9.0"/>
      </rPr>
      <t xml:space="preserve">1. pennylane</t>
    </r>
    <r>
      <rPr>
        <rFont val="等线"/>
        <scheme val="minor"/>
        <sz val="9.0"/>
      </rPr>
      <t>，</t>
    </r>
    <r>
      <rPr>
        <rFont val="等线"/>
        <scheme val="minor"/>
        <sz val="9.0"/>
        <color rgb="FE2C23"/>
      </rPr>
      <t xml:space="preserve">2. paper review</t>
    </r>
    <r>
      <rPr>
        <rFont val="等线"/>
        <scheme val="minor"/>
        <sz val="9.0"/>
      </rPr>
      <t>，</t>
    </r>
    <r>
      <rPr>
        <rFont val="等线"/>
        <scheme val="minor"/>
        <strike val="true"/>
        <sz val="9.0"/>
      </rPr>
      <t xml:space="preserve">3. scirate</t>
    </r>
  </si>
  <si>
    <t>晚上躺在床上有些躁动，回忆控制不住地涌进脑海，导致失眠</t>
  </si>
  <si>
    <t>1 写数学文章 2 练习小钟琴</t>
  </si>
  <si>
    <t>下午一开始心情有点烦躁，不想呆在室内继续写软件了，原因是之前5天每天做的软件做完了，所以今天做不动了，换作去森林公园练琴调整，well done!</t>
  </si>
  <si>
    <t>完成</t>
  </si>
  <si>
    <r>
      <rPr>
        <rFont val="等线"/>
        <scheme val="minor"/>
        <sz val="9.0"/>
      </rPr>
      <t>1</t>
    </r>
    <r>
      <rPr>
        <rFont val="等线"/>
        <scheme val="minor"/>
        <strike val="true"/>
        <sz val="9.0"/>
      </rPr>
      <t xml:space="preserve">. 备课试讲 2.备课组推动 3. 学社活动推动 4.瞄一眼宿舍申请情况</t>
    </r>
    <r>
      <rPr>
        <rFont val="等线"/>
        <scheme val="minor"/>
        <sz val="9.0"/>
        <color rgb="EE7976"/>
      </rPr>
      <t xml:space="preserve"> 5.预案推进 6. 问答写作</t>
    </r>
  </si>
  <si>
    <t>1. cover letter，2. pennylane</t>
  </si>
  <si>
    <t>1 数学文章完成，发了博客和微信公众号 2 写软件 3 练习小钟琴</t>
  </si>
  <si>
    <t>下午写软件的时候因为质疑要写的软件的意义而心情不畅快了一阵子</t>
  </si>
  <si>
    <t>孟注：坚持把事做成，不用多想，加油。（Re：谢谢！）</t>
  </si>
  <si>
    <r>
      <rPr>
        <rFont val="等线"/>
        <scheme val="minor"/>
        <strike val="true"/>
        <sz val="9.0"/>
      </rPr>
      <t xml:space="preserve">1. 讲课 2. 学社备课 3. 学社研讨</t>
    </r>
    <r>
      <rPr>
        <rFont val="等线"/>
        <scheme val="minor"/>
        <sz val="9.0"/>
      </rPr>
      <t xml:space="preserve"> </t>
    </r>
    <r>
      <rPr>
        <rFont val="等线"/>
        <scheme val="minor"/>
        <sz val="9.0"/>
        <color rgb="FE2C23"/>
      </rPr>
      <t xml:space="preserve">4. 预案推进</t>
    </r>
    <r>
      <rPr>
        <rFont val="等线"/>
        <scheme val="minor"/>
        <sz val="9.0"/>
      </rPr>
      <t xml:space="preserve"> </t>
    </r>
    <r>
      <rPr>
        <rFont val="等线"/>
        <scheme val="minor"/>
        <strike val="true"/>
        <sz val="9.0"/>
      </rPr>
      <t>5.备课组推动</t>
    </r>
  </si>
  <si>
    <r>
      <rPr>
        <rFont val="等线"/>
        <scheme val="minor"/>
        <strike val="true"/>
        <sz val="9.0"/>
      </rPr>
      <t xml:space="preserve">1. pennylane</t>
    </r>
    <r>
      <rPr>
        <rFont val="等线"/>
        <scheme val="minor"/>
        <sz val="9.0"/>
      </rPr>
      <t>，</t>
    </r>
    <r>
      <rPr>
        <rFont val="等线"/>
        <scheme val="minor"/>
        <sz val="9.0"/>
        <color rgb="FE2C23"/>
      </rPr>
      <t xml:space="preserve">2. 整理文章，3. VQC review</t>
    </r>
  </si>
  <si>
    <t>1 练习小钟琴 2 大体看完庄子里的《河伯与北海若》</t>
  </si>
  <si>
    <t>今天下午改成看古文也算是一种调节</t>
  </si>
  <si>
    <t>1. 申请港大宿舍</t>
  </si>
  <si>
    <r>
      <rPr>
        <rFont val="等线"/>
        <scheme val="minor"/>
        <strike val="true"/>
        <sz val="9.0"/>
      </rPr>
      <t xml:space="preserve">1. adapt-vqe，2. 申请时长</t>
    </r>
    <r>
      <rPr>
        <rFont val="等线"/>
        <scheme val="minor"/>
        <sz val="9.0"/>
      </rPr>
      <t>，</t>
    </r>
    <r>
      <rPr>
        <rFont val="等线"/>
        <scheme val="minor"/>
        <strike val="true"/>
        <sz val="9.0"/>
      </rPr>
      <t xml:space="preserve">3. scirate</t>
    </r>
    <r>
      <rPr>
        <rFont val="等线"/>
        <scheme val="minor"/>
        <sz val="9.0"/>
      </rPr>
      <t xml:space="preserve">，4. 参考文献格式</t>
    </r>
  </si>
  <si>
    <r>
      <rPr>
        <rFont val="等线"/>
        <scheme val="minor"/>
        <strike val="true"/>
        <sz val="9.0"/>
      </rPr>
      <t>1回复之前参与问题调查的参与</t>
    </r>
    <r>
      <rPr>
        <rFont val="等线"/>
        <scheme val="minor"/>
        <sz val="9.0"/>
      </rPr>
      <t>者</t>
    </r>
    <r>
      <rPr>
        <rFont val="等线"/>
        <scheme val="minor"/>
        <strike val="true"/>
        <sz val="9.0"/>
      </rPr>
      <t xml:space="preserve">  2 写软件</t>
    </r>
    <r>
      <rPr>
        <rFont val="等线"/>
        <scheme val="minor"/>
        <sz val="9.0"/>
      </rPr>
      <t xml:space="preserve"> 3练习小钟琴 </t>
    </r>
  </si>
  <si>
    <t>1. 学社推动 2. 备课任务 3. 预案推动 4. 销售技巧学习</t>
  </si>
  <si>
    <r>
      <rPr>
        <rFont val="等线"/>
        <scheme val="minor"/>
        <strike val="true"/>
        <sz val="9.0"/>
      </rPr>
      <t xml:space="preserve">1. 准备 presentation</t>
    </r>
    <r>
      <rPr>
        <rFont val="等线"/>
        <scheme val="minor"/>
        <sz val="9.0"/>
      </rPr>
      <t>，</t>
    </r>
    <r>
      <rPr>
        <rFont val="等线"/>
        <scheme val="minor"/>
        <strike val="true"/>
        <sz val="9.0"/>
      </rPr>
      <t xml:space="preserve">2. 修改文章</t>
    </r>
    <r>
      <rPr>
        <rFont val="等线"/>
        <scheme val="minor"/>
        <sz val="9.0"/>
      </rPr>
      <t>，</t>
    </r>
    <r>
      <rPr>
        <rFont val="等线"/>
        <scheme val="minor"/>
        <strike val="true"/>
        <sz val="9.0"/>
      </rPr>
      <t xml:space="preserve">3. scirate</t>
    </r>
    <r>
      <rPr>
        <rFont val="等线"/>
        <scheme val="minor"/>
        <sz val="9.0"/>
      </rPr>
      <t xml:space="preserve">，4. profile 整理，5. extension 安装</t>
    </r>
  </si>
  <si>
    <r>
      <rPr>
        <rFont val="等线"/>
        <scheme val="minor"/>
        <sz val="9.0"/>
      </rPr>
      <t xml:space="preserve">1准备英文邮件  </t>
    </r>
    <r>
      <rPr>
        <rFont val="等线"/>
        <scheme val="minor"/>
        <sz val="9.0"/>
        <color rgb="FE2C23"/>
      </rPr>
      <t xml:space="preserve">2 写软件</t>
    </r>
    <r>
      <rPr>
        <rFont val="等线"/>
        <scheme val="minor"/>
        <sz val="9.0"/>
      </rPr>
      <t xml:space="preserve"> 3练习小钟琴 </t>
    </r>
  </si>
  <si>
    <r>
      <rPr>
        <rFont val="等线"/>
        <scheme val="minor"/>
        <sz val="9.0"/>
      </rPr>
      <t xml:space="preserve">1. adapt-VQE，</t>
    </r>
    <r>
      <rPr>
        <rFont val="等线"/>
        <scheme val="minor"/>
        <sz val="9.0"/>
        <color rgb="FE2C23"/>
      </rPr>
      <t xml:space="preserve">2. 文章图片修改，3. profile 整理</t>
    </r>
    <r>
      <rPr>
        <rFont val="等线"/>
        <scheme val="minor"/>
        <sz val="9.0"/>
      </rPr>
      <t xml:space="preserve">，4. extension 安装，5. scirate</t>
    </r>
  </si>
  <si>
    <r>
      <rPr>
        <rFont val="等线"/>
        <scheme val="minor"/>
        <sz val="9.0"/>
      </rPr>
      <t>1准备英文邮件</t>
    </r>
    <r>
      <rPr>
        <rFont val="等线"/>
        <scheme val="minor"/>
        <sz val="9.0"/>
        <color rgb="0D0015"/>
      </rPr>
      <t xml:space="preserve">  2 写软件 </t>
    </r>
    <r>
      <rPr>
        <rFont val="等线"/>
        <scheme val="minor"/>
        <sz val="9.0"/>
      </rPr>
      <t xml:space="preserve">3练习小钟琴 </t>
    </r>
  </si>
  <si>
    <r>
      <rPr>
        <rFont val="等线"/>
        <scheme val="minor"/>
        <sz val="9.0"/>
      </rPr>
      <t xml:space="preserve">1. 文章图片修改，2. 看文章，3. adapt-VQE，4. scirate，</t>
    </r>
    <r>
      <rPr>
        <rFont val="等线"/>
        <scheme val="minor"/>
        <sz val="9.0"/>
        <color rgb="FE2C23"/>
      </rPr>
      <t xml:space="preserve">5. 资料整理</t>
    </r>
  </si>
  <si>
    <r>
      <rPr>
        <rFont val="等线"/>
        <scheme val="minor"/>
        <sz val="9.0"/>
        <color rgb="FE2C23"/>
      </rPr>
      <t>1准备英文邮件</t>
    </r>
    <r>
      <rPr>
        <rFont val="等线"/>
        <scheme val="minor"/>
        <sz val="9.0"/>
        <color rgb="0D0015"/>
      </rPr>
      <t xml:space="preserve">  2 写软件</t>
    </r>
    <r>
      <rPr>
        <rFont val="等线"/>
        <scheme val="minor"/>
        <sz val="9.0"/>
        <color rgb="FE2C23"/>
      </rPr>
      <t xml:space="preserve"> 3练习小钟琴 </t>
    </r>
  </si>
  <si>
    <t xml:space="preserve">1.学社推动 2. 甲组考试 </t>
  </si>
  <si>
    <r>
      <rPr>
        <rFont val="等线"/>
        <scheme val="minor"/>
        <sz val="9.0"/>
      </rPr>
      <t xml:space="preserve">1. 修改文章，2. adapt-VQE，</t>
    </r>
    <r>
      <rPr>
        <rFont val="等线"/>
        <scheme val="minor"/>
        <sz val="9.0"/>
        <color rgb="FE2C23"/>
      </rPr>
      <t xml:space="preserve">3. 看文章，4. scirate，5. 整理 </t>
    </r>
  </si>
  <si>
    <r>
      <rPr>
        <rFont val="等线"/>
        <scheme val="minor"/>
        <sz val="9.0"/>
      </rPr>
      <t xml:space="preserve">1. 哄女朋友 2. 学社推动备课推送 3.甲组 </t>
    </r>
    <r>
      <rPr>
        <rFont val="等线"/>
        <scheme val="minor"/>
        <sz val="9.0"/>
        <color rgb="FE2C23"/>
      </rPr>
      <t>4.孟荀复习</t>
    </r>
  </si>
  <si>
    <r>
      <rPr>
        <rFont val="等线"/>
        <scheme val="minor"/>
        <sz val="9.0"/>
      </rPr>
      <t xml:space="preserve">1. adapt-VQE，2. 提 issue，</t>
    </r>
    <r>
      <rPr>
        <rFont val="等线"/>
        <scheme val="minor"/>
        <sz val="9.0"/>
        <color rgb="FE2C23"/>
      </rPr>
      <t xml:space="preserve">3. 修改文章</t>
    </r>
    <r>
      <rPr>
        <rFont val="等线"/>
        <scheme val="minor"/>
        <sz val="9.0"/>
      </rPr>
      <t xml:space="preserve">， 4. 昨天剩下的scirate，</t>
    </r>
    <r>
      <rPr>
        <rFont val="等线"/>
        <scheme val="minor"/>
        <sz val="9.0"/>
        <color rgb="FE2C23"/>
      </rPr>
      <t xml:space="preserve">5. 整理</t>
    </r>
  </si>
  <si>
    <r>
      <rPr>
        <rFont val="等线"/>
        <scheme val="minor"/>
        <sz val="9.0"/>
      </rPr>
      <t>1</t>
    </r>
    <r>
      <rPr>
        <rFont val="等线"/>
        <scheme val="minor"/>
        <sz val="9.0"/>
        <color rgb="0D0015"/>
      </rPr>
      <t xml:space="preserve"> 回去看望奶奶 2写软件 </t>
    </r>
    <r>
      <rPr>
        <rFont val="等线"/>
        <scheme val="minor"/>
        <sz val="9.0"/>
        <color rgb="FE2C23"/>
      </rPr>
      <t>3练习小钟琴</t>
    </r>
    <r>
      <rPr>
        <rFont val="等线"/>
        <scheme val="minor"/>
        <sz val="9.0"/>
      </rPr>
      <t xml:space="preserve"> </t>
    </r>
  </si>
  <si>
    <r>
      <rPr>
        <rFont val="等线"/>
        <scheme val="minor"/>
        <sz val="9.0"/>
      </rPr>
      <t xml:space="preserve">1. 模拟，</t>
    </r>
    <r>
      <rPr>
        <rFont val="等线"/>
        <scheme val="minor"/>
        <sz val="9.0"/>
        <color rgb="FE2C23"/>
      </rPr>
      <t xml:space="preserve">2. 笔记检查，3. 改文章</t>
    </r>
  </si>
  <si>
    <r>
      <rPr>
        <rFont val="等线"/>
        <scheme val="minor"/>
        <sz val="9.0"/>
      </rPr>
      <t>1</t>
    </r>
    <r>
      <rPr>
        <rFont val="等线"/>
        <scheme val="minor"/>
        <sz val="9.0"/>
        <color rgb="0D0015"/>
      </rPr>
      <t xml:space="preserve"> 写软件 </t>
    </r>
    <r>
      <rPr>
        <rFont val="等线"/>
        <scheme val="minor"/>
        <sz val="9.0"/>
        <color rgb="FE2C23"/>
      </rPr>
      <t>2练习小钟琴</t>
    </r>
    <r>
      <rPr>
        <rFont val="等线"/>
        <scheme val="minor"/>
        <sz val="9.0"/>
      </rPr>
      <t xml:space="preserve"> </t>
    </r>
  </si>
  <si>
    <t>接下来几天会被手上的软件项目打破正常安排，搞完之后就努力调整过来</t>
  </si>
  <si>
    <t>周滢瑶z</t>
  </si>
  <si>
    <r>
      <rPr>
        <rFont val="等线"/>
        <scheme val="minor"/>
        <strike val="true"/>
        <sz val="9.0"/>
      </rPr>
      <t xml:space="preserve">1. 考卷分析 成绩统计</t>
    </r>
    <r>
      <rPr>
        <rFont val="等线"/>
        <scheme val="minor"/>
        <sz val="9.0"/>
      </rPr>
      <t xml:space="preserve"> </t>
    </r>
    <r>
      <rPr>
        <rFont val="等线"/>
        <scheme val="minor"/>
        <strike val="true"/>
        <sz val="9.0"/>
      </rPr>
      <t xml:space="preserve">2.批改笔记 3. 销售课程 4. 查各种邮件</t>
    </r>
  </si>
  <si>
    <t>正常 稍微疲累</t>
  </si>
  <si>
    <r>
      <rPr>
        <rFont val="等线"/>
        <scheme val="minor"/>
        <strike val="true"/>
        <sz val="9.0"/>
      </rPr>
      <t xml:space="preserve">1. 模拟，2. 笔记检查，3. scirate</t>
    </r>
    <r>
      <rPr>
        <rFont val="等线"/>
        <scheme val="minor"/>
        <sz val="9.0"/>
      </rPr>
      <t xml:space="preserve">，4. 修改文章，5. 组会报告准备</t>
    </r>
  </si>
  <si>
    <t>1.练习科目三
2. 背托福单词
3. 完成晶体作业</t>
  </si>
  <si>
    <t>1. 改笔记 2.考题标准 3.销售课</t>
  </si>
  <si>
    <r>
      <rPr>
        <rFont val="等线"/>
        <scheme val="minor"/>
        <sz val="9.0"/>
      </rPr>
      <t xml:space="preserve">1. 改文章，</t>
    </r>
    <r>
      <rPr>
        <rFont val="等线"/>
        <scheme val="minor"/>
        <strike val="true"/>
        <sz val="9.0"/>
      </rPr>
      <t xml:space="preserve">2. 准备组会，3. scirate</t>
    </r>
  </si>
  <si>
    <t xml:space="preserve">1 写软件 2 练习小钟琴 </t>
  </si>
  <si>
    <t>1. 准备组会，2. scirate</t>
  </si>
  <si>
    <r>
      <rPr>
        <rFont val="等线"/>
        <scheme val="minor"/>
        <sz val="9.0"/>
      </rPr>
      <t xml:space="preserve">1 写软件 </t>
    </r>
    <r>
      <rPr>
        <rFont val="等线"/>
        <scheme val="minor"/>
        <sz val="9.0"/>
        <color rgb="FE2C23"/>
      </rPr>
      <t xml:space="preserve">2 练习小钟琴 </t>
    </r>
  </si>
  <si>
    <t>还是得把必要的事情尽可能早完成</t>
  </si>
  <si>
    <r>
      <rPr>
        <rFont val="等线"/>
        <scheme val="minor"/>
        <strike val="true"/>
        <sz val="9.0"/>
      </rPr>
      <t xml:space="preserve">1.批卷子，2.批笔记 </t>
    </r>
    <r>
      <rPr>
        <rFont val="等线"/>
        <scheme val="minor"/>
        <sz val="9.0"/>
      </rPr>
      <t>3</t>
    </r>
    <r>
      <rPr>
        <rFont val="等线"/>
        <scheme val="minor"/>
        <strike val="true"/>
        <sz val="9.0"/>
      </rPr>
      <t xml:space="preserve">.推动学社 4.销售课</t>
    </r>
  </si>
  <si>
    <r>
      <rPr>
        <rFont val="等线"/>
        <scheme val="minor"/>
        <strike val="true"/>
        <sz val="9.0"/>
      </rPr>
      <t xml:space="preserve">1. 投稿</t>
    </r>
    <r>
      <rPr>
        <rFont val="等线"/>
        <scheme val="minor"/>
        <sz val="9.0"/>
      </rPr>
      <t xml:space="preserve">，2. 看文章，3. 改文章，4. scirate，5. 整理最近的讲座信息</t>
    </r>
  </si>
  <si>
    <t>身不由己o(╥﹏╥)o，又写了一天的软件</t>
  </si>
  <si>
    <t>1. 批卷子 2.批笔记 2. 统成绩 4.推动学社 5.销售课 6. 备课</t>
  </si>
  <si>
    <t>1. 改文章，2. 看文章，3. scirate，4. 整理最近的讲座信息</t>
  </si>
  <si>
    <t>结了个软件项目，松了口气</t>
  </si>
  <si>
    <t xml:space="preserve">1.Machine Learning一节课
2. Python 第一天
3. 背单词  4.美丽芭蕾
</t>
  </si>
  <si>
    <t>1.批卷子2 批笔记 2。统成绩 3. 推动学社</t>
  </si>
  <si>
    <t>1. 听课 2. 讲卷子 3. 学社活动</t>
  </si>
  <si>
    <t>1. 整理手头的题目，思考下一步做什么，2. 改文章</t>
  </si>
  <si>
    <t>之前一连紧张地干了差不多10天的软件，今天早上醒来的时候因为这些事情告一段落，感觉很累，所以就不想起来，多睡到10点，然后后面发现还是很累，在床上看了一个多小时的微博和快手，结果一段时间过去了还是没什么精神。本来这种情况我应该强制自己去草木茂盛之处静坐休息的，今天又重蹈覆辙，这再次证明了这种赖床的做法对恢复精神是无效的，下次希望一定要克制自己去草木茂盛之处静坐。今天就因为这种行为错失了两个做事的好时机，得不偿失，我希望不要有下次了！！！</t>
  </si>
  <si>
    <r>
      <rPr>
        <rFont val="等线"/>
        <scheme val="minor"/>
        <strike val="true"/>
        <sz val="9.0"/>
      </rPr>
      <t xml:space="preserve">1. 推动学社修身季</t>
    </r>
    <r>
      <rPr>
        <rFont val="等线"/>
        <scheme val="minor"/>
        <sz val="9.0"/>
      </rPr>
      <t xml:space="preserve"> </t>
    </r>
    <r>
      <rPr>
        <rFont val="等线"/>
        <scheme val="minor"/>
        <strike val="true"/>
        <sz val="9.0"/>
      </rPr>
      <t xml:space="preserve">2.推动备课组收尾 3.销售任务和课程 4.缓慢开始科研活动 5. 写文章 6. 孟荀注疏</t>
    </r>
  </si>
  <si>
    <t>1. 调整实验条件重做并留图2.计算机环境配置3.破机子器材整理与修复尝试4.升学准备</t>
  </si>
  <si>
    <r>
      <rPr>
        <rFont val="等线"/>
        <scheme val="minor"/>
        <strike val="true"/>
        <sz val="9.0"/>
      </rPr>
      <t>1.python</t>
    </r>
    <r>
      <rPr>
        <rFont val="等线"/>
        <scheme val="minor"/>
        <sz val="9.0"/>
      </rPr>
      <t xml:space="preserve">
2.英语
3.复习</t>
    </r>
  </si>
  <si>
    <t>正常
英语和复习还没开始（我快成拖王了）</t>
  </si>
  <si>
    <t>不可因为小事纠结生气</t>
  </si>
  <si>
    <r>
      <rPr>
        <rFont val="等线"/>
        <scheme val="minor"/>
        <sz val="9.0"/>
      </rPr>
      <t xml:space="preserve">1. 看文章，</t>
    </r>
    <r>
      <rPr>
        <rFont val="等线"/>
        <scheme val="minor"/>
        <strike val="true"/>
        <sz val="9.0"/>
      </rPr>
      <t xml:space="preserve">2. 改文章</t>
    </r>
    <r>
      <rPr>
        <rFont val="等线"/>
        <scheme val="minor"/>
        <sz val="9.0"/>
      </rPr>
      <t xml:space="preserve">，3. cirq，</t>
    </r>
    <r>
      <rPr>
        <rFont val="等线"/>
        <scheme val="minor"/>
        <strike val="true"/>
        <sz val="9.0"/>
      </rPr>
      <t xml:space="preserve">4. scirate</t>
    </r>
  </si>
  <si>
    <t>1.Machine learning 一节课</t>
  </si>
  <si>
    <t xml:space="preserve">1. 推免申请
2. 学习Linux From Scratch
3. 学习OS
</t>
  </si>
  <si>
    <r>
      <rPr>
        <rFont val="等线"/>
        <scheme val="minor"/>
        <strike val="true"/>
        <sz val="9.0"/>
      </rPr>
      <t xml:space="preserve">1. 《管子·内业》2.整理工作记录 3.缓慢开始科研工作 </t>
    </r>
    <r>
      <rPr>
        <rFont val="等线"/>
        <scheme val="minor"/>
        <sz val="9.0"/>
      </rPr>
      <t>4.练习销售</t>
    </r>
    <r>
      <rPr>
        <rFont val="等线"/>
        <scheme val="minor"/>
        <strike val="true"/>
        <sz val="9.0"/>
      </rPr>
      <t xml:space="preserve"> 5.学习销售课 </t>
    </r>
    <r>
      <rPr>
        <rFont val="等线"/>
        <scheme val="minor"/>
        <sz val="9.0"/>
      </rPr>
      <t>6.预案编写</t>
    </r>
  </si>
  <si>
    <t>1写软件 2小钟琴练习</t>
  </si>
  <si>
    <t>1.py
2.英语
3.复习</t>
  </si>
  <si>
    <r>
      <rPr>
        <rFont val="等线"/>
        <scheme val="minor"/>
        <sz val="9.0"/>
      </rPr>
      <t xml:space="preserve">1. cirq，2. 改代码，</t>
    </r>
    <r>
      <rPr>
        <rFont val="等线"/>
        <scheme val="minor"/>
        <strike val="true"/>
        <sz val="9.0"/>
      </rPr>
      <t xml:space="preserve">3. 看文章，4. scirate</t>
    </r>
  </si>
  <si>
    <t>Machine learning</t>
  </si>
  <si>
    <t>1. 学习Linux From Scratch
2. 联系教授</t>
  </si>
  <si>
    <r>
      <rPr>
        <rFont val="等线"/>
        <scheme val="minor"/>
        <strike val="true"/>
        <sz val="9.0"/>
      </rPr>
      <t xml:space="preserve">1. 《管子·心术上下</t>
    </r>
    <r>
      <rPr>
        <rFont val="等线"/>
        <scheme val="minor"/>
        <sz val="9.0"/>
      </rPr>
      <t>、白心》</t>
    </r>
    <r>
      <rPr>
        <rFont val="等线"/>
        <scheme val="minor"/>
        <strike val="true"/>
        <sz val="9.0"/>
      </rPr>
      <t xml:space="preserve">2.备课组推动与总结 3.预案编写 4.确定汉服冠履款式和尺寸 5. 给谢同学批注笔记</t>
    </r>
  </si>
  <si>
    <t>今天比较累</t>
  </si>
  <si>
    <t>1栽花 2洗衣服</t>
  </si>
  <si>
    <t>1.复习
2.英语
3.py</t>
  </si>
  <si>
    <r>
      <rPr>
        <rFont val="等线"/>
        <scheme val="minor"/>
        <strike val="true"/>
        <sz val="9.0"/>
      </rPr>
      <t xml:space="preserve">1. cirq</t>
    </r>
    <r>
      <rPr>
        <rFont val="等线"/>
        <scheme val="minor"/>
        <sz val="9.0"/>
      </rPr>
      <t xml:space="preserve">，2. 改代码，</t>
    </r>
    <r>
      <rPr>
        <rFont val="等线"/>
        <scheme val="minor"/>
        <strike val="true"/>
        <sz val="9.0"/>
      </rPr>
      <t xml:space="preserve">3. 文章review，4. scirate</t>
    </r>
  </si>
  <si>
    <r>
      <rPr>
        <rFont val="等线"/>
        <scheme val="minor"/>
        <sz val="9.0"/>
      </rPr>
      <t xml:space="preserve">1.《管子·白心、内业》2.备课组总结推动以及补评 3.预案编写 4.缓慢开始科研 5.学社推动</t>
    </r>
    <r>
      <rPr>
        <rFont val="等线"/>
        <scheme val="minor"/>
        <strike val="true"/>
        <sz val="9.0"/>
      </rPr>
      <t xml:space="preserve"> 6.立志课文案 7.给谢同学语音讨论</t>
    </r>
  </si>
  <si>
    <r>
      <rPr>
        <rFont val="等线"/>
        <scheme val="minor"/>
        <sz val="9.0"/>
      </rPr>
      <t xml:space="preserve">1看世界史两页  2</t>
    </r>
    <r>
      <rPr>
        <rFont val="等线"/>
        <scheme val="minor"/>
        <sz val="9.0"/>
        <color rgb="FE2C23"/>
      </rPr>
      <t>小钟琴练习</t>
    </r>
  </si>
  <si>
    <t>1.单词
2.复习</t>
  </si>
  <si>
    <r>
      <rPr>
        <rFont val="等线"/>
        <scheme val="minor"/>
        <sz val="9.0"/>
      </rPr>
      <t xml:space="preserve">1. 改代码，2. 量子化学，</t>
    </r>
    <r>
      <rPr>
        <rFont val="等线"/>
        <scheme val="minor"/>
        <strike val="true"/>
        <sz val="9.0"/>
      </rPr>
      <t xml:space="preserve">3. scirate</t>
    </r>
  </si>
  <si>
    <t>玩嗨了</t>
  </si>
  <si>
    <t>今天比较累……ORZ</t>
  </si>
  <si>
    <t>1看世界史两页  2小钟琴练习</t>
  </si>
  <si>
    <t xml:space="preserve">这两天虽然做的事少了，
但可能因为心情紧张，
所以还是没放松下来
</t>
  </si>
  <si>
    <t>1.复习
2.单词</t>
  </si>
  <si>
    <r>
      <rPr>
        <rFont val="等线"/>
        <scheme val="minor"/>
        <sz val="9.0"/>
      </rPr>
      <t xml:space="preserve">1. scirate，</t>
    </r>
    <r>
      <rPr>
        <rFont val="等线"/>
        <scheme val="minor"/>
        <strike val="true"/>
        <sz val="9.0"/>
      </rPr>
      <t xml:space="preserve">2. 听个报告，3. 搬家</t>
    </r>
  </si>
  <si>
    <t>1. 备课 2. 跟课</t>
  </si>
  <si>
    <t xml:space="preserve">1看两页世界史 </t>
  </si>
  <si>
    <t>今天去看漫展初赛，心情好了点</t>
  </si>
  <si>
    <r>
      <rPr>
        <rFont val="等线"/>
        <scheme val="minor"/>
        <sz val="9.0"/>
      </rPr>
      <t xml:space="preserve">1. scirate，2. 投稿，</t>
    </r>
    <r>
      <rPr>
        <rFont val="等线"/>
        <scheme val="minor"/>
        <strike val="true"/>
        <sz val="9.0"/>
      </rPr>
      <t xml:space="preserve">3. 报告</t>
    </r>
  </si>
  <si>
    <t>稍微有点累</t>
  </si>
  <si>
    <t>Machine  learning, 背单词，复习概统</t>
  </si>
  <si>
    <t>1. 备课 2.讲课</t>
  </si>
  <si>
    <t>今天继续去看漫展初赛，I feel good:)</t>
  </si>
  <si>
    <r>
      <rPr>
        <rFont val="等线"/>
        <scheme val="minor"/>
        <sz val="9.0"/>
      </rPr>
      <t xml:space="preserve">1. QAOA benchmark，</t>
    </r>
    <r>
      <rPr>
        <rFont val="等线"/>
        <scheme val="minor"/>
        <strike val="true"/>
        <sz val="9.0"/>
      </rPr>
      <t xml:space="preserve">2. scirate，3. 听个报告</t>
    </r>
  </si>
  <si>
    <t>今天主要是修整</t>
  </si>
  <si>
    <r>
      <rPr>
        <rFont val="等线"/>
        <scheme val="minor"/>
        <strike val="true"/>
        <sz val="9.0"/>
      </rPr>
      <t xml:space="preserve">1. benchmark，2. scirate</t>
    </r>
    <r>
      <rPr>
        <rFont val="等线"/>
        <scheme val="minor"/>
        <sz val="9.0"/>
      </rPr>
      <t xml:space="preserve">，3. 读文章</t>
    </r>
  </si>
  <si>
    <t>1.复习
2.英语</t>
  </si>
  <si>
    <t>看两页世界史</t>
  </si>
  <si>
    <t>1、做完并上交fluent作业2、至少复习1周的材料力学内容3、搞懂理论力学那几道题</t>
  </si>
  <si>
    <t>机器学习</t>
  </si>
  <si>
    <t>感觉有些不能专注，比较浮躁</t>
  </si>
  <si>
    <r>
      <rPr>
        <rFont val="等线"/>
        <scheme val="minor"/>
        <sz val="9.0"/>
      </rPr>
      <t>1</t>
    </r>
    <r>
      <rPr>
        <rFont val="等线"/>
        <scheme val="minor"/>
        <strike val="true"/>
        <sz val="9.0"/>
      </rPr>
      <t xml:space="preserve">. 绩效工资分配 2.</t>
    </r>
    <r>
      <rPr>
        <rFont val="等线"/>
        <scheme val="minor"/>
        <sz val="9.0"/>
      </rPr>
      <t xml:space="preserve">查询并确认返港日期 3. 申请逗留签注 4.写文章 5. 报告准备 6. </t>
    </r>
    <r>
      <rPr>
        <rFont val="等线"/>
        <scheme val="minor"/>
        <strike val="true"/>
        <sz val="9.0"/>
      </rPr>
      <t>推进学社的注疏等工作</t>
    </r>
    <r>
      <rPr>
        <rFont val="等线"/>
        <scheme val="minor"/>
        <sz val="9.0"/>
      </rPr>
      <t xml:space="preserve"> 7.预案编写 8. 招新推进 9.年审推进</t>
    </r>
  </si>
  <si>
    <r>
      <rPr>
        <rFont val="等线"/>
        <scheme val="minor"/>
        <strike val="true"/>
        <sz val="9.0"/>
      </rPr>
      <t xml:space="preserve">1. 准备 presentation，2. 改地址</t>
    </r>
    <r>
      <rPr>
        <rFont val="等线"/>
        <scheme val="minor"/>
        <sz val="9.0"/>
      </rPr>
      <t xml:space="preserve">，3. 投稿，</t>
    </r>
    <r>
      <rPr>
        <rFont val="等线"/>
        <scheme val="minor"/>
        <strike val="true"/>
        <sz val="9.0"/>
      </rPr>
      <t xml:space="preserve">4. 听报告</t>
    </r>
    <r>
      <rPr>
        <rFont val="等线"/>
        <scheme val="minor"/>
        <sz val="9.0"/>
      </rPr>
      <t xml:space="preserve">，5. scirate，6. 检查笔记</t>
    </r>
  </si>
  <si>
    <r>
      <rPr>
        <rFont val="等线"/>
        <scheme val="minor"/>
        <sz val="9.0"/>
      </rPr>
      <t>1.</t>
    </r>
    <r>
      <rPr>
        <rFont val="等线"/>
        <scheme val="minor"/>
        <strike val="true"/>
        <sz val="9.0"/>
      </rPr>
      <t>完成校园大使PPT</t>
    </r>
    <r>
      <rPr>
        <rFont val="等线"/>
        <scheme val="minor"/>
        <sz val="9.0"/>
      </rPr>
      <t>2、</t>
    </r>
    <r>
      <rPr>
        <rFont val="等线"/>
        <scheme val="minor"/>
        <strike val="true"/>
        <sz val="9.0"/>
      </rPr>
      <t>复习1章概统</t>
    </r>
    <r>
      <rPr>
        <rFont val="等线"/>
        <scheme val="minor"/>
        <sz val="9.0"/>
      </rPr>
      <t>3、</t>
    </r>
    <r>
      <rPr>
        <rFont val="等线"/>
        <scheme val="minor"/>
        <strike val="true"/>
        <sz val="9.0"/>
      </rPr>
      <t>校园大使开会</t>
    </r>
  </si>
  <si>
    <t>1.看两节信号和系统网课 2. 按导师要求写代码 3. 闲暇阅读战争与和平</t>
  </si>
  <si>
    <t>偏低落</t>
  </si>
  <si>
    <r>
      <rPr>
        <rFont val="等线"/>
        <scheme val="minor"/>
        <sz val="9.0"/>
      </rPr>
      <t xml:space="preserve">1. 绩效工资分配</t>
    </r>
    <r>
      <rPr>
        <rFont val="等线"/>
        <scheme val="minor"/>
        <strike val="true"/>
        <sz val="9.0"/>
      </rPr>
      <t xml:space="preserve"> 2.查询并确认返港日期 3. 申请逗留签注 </t>
    </r>
    <r>
      <rPr>
        <rFont val="等线"/>
        <scheme val="minor"/>
        <sz val="9.0"/>
      </rPr>
      <t xml:space="preserve">4.写文章 5. 报告准备</t>
    </r>
    <r>
      <rPr>
        <rFont val="等线"/>
        <scheme val="minor"/>
        <strike val="true"/>
        <sz val="9.0"/>
      </rPr>
      <t xml:space="preserve"> 6. 推进学社的注疏等工作 </t>
    </r>
    <r>
      <rPr>
        <rFont val="等线"/>
        <scheme val="minor"/>
        <sz val="9.0"/>
      </rPr>
      <t xml:space="preserve">7.预案编写 8. 招新推进 9.年审推进 </t>
    </r>
    <r>
      <rPr>
        <rFont val="等线"/>
        <scheme val="minor"/>
        <strike val="true"/>
        <sz val="9.0"/>
      </rPr>
      <t xml:space="preserve">10. 宿舍申请单回执</t>
    </r>
  </si>
  <si>
    <r>
      <rPr>
        <rFont val="等线"/>
        <scheme val="minor"/>
        <strike val="true"/>
        <sz val="9.0"/>
      </rPr>
      <t xml:space="preserve">1. 投稿</t>
    </r>
    <r>
      <rPr>
        <rFont val="等线"/>
        <scheme val="minor"/>
        <sz val="9.0"/>
      </rPr>
      <t xml:space="preserve">，2. 看文章，</t>
    </r>
    <r>
      <rPr>
        <rFont val="等线"/>
        <scheme val="minor"/>
        <strike val="true"/>
        <sz val="9.0"/>
      </rPr>
      <t xml:space="preserve">3. 课程，4. scirate</t>
    </r>
  </si>
  <si>
    <r>
      <rPr>
        <rFont val="等线"/>
        <scheme val="minor"/>
        <sz val="9.0"/>
      </rPr>
      <t>1.</t>
    </r>
    <r>
      <rPr>
        <rFont val="等线"/>
        <scheme val="minor"/>
        <strike val="true"/>
        <sz val="9.0"/>
      </rPr>
      <t>完成Mysql的课程学习</t>
    </r>
    <r>
      <rPr>
        <rFont val="等线"/>
        <scheme val="minor"/>
        <sz val="9.0"/>
      </rPr>
      <t>2、</t>
    </r>
    <r>
      <rPr>
        <rFont val="等线"/>
        <scheme val="minor"/>
        <strike val="true"/>
        <sz val="9.0"/>
      </rPr>
      <t>机器学习1节</t>
    </r>
    <r>
      <rPr>
        <rFont val="等线"/>
        <scheme val="minor"/>
        <sz val="9.0"/>
      </rPr>
      <t>3、校园大使开会4、</t>
    </r>
    <r>
      <rPr>
        <rFont val="等线"/>
        <scheme val="minor"/>
        <strike val="true"/>
        <sz val="9.0"/>
      </rPr>
      <t>复习概统1章</t>
    </r>
    <r>
      <rPr>
        <rFont val="等线"/>
        <scheme val="minor"/>
        <sz val="9.0"/>
      </rPr>
      <t>，量力1章，电动1章</t>
    </r>
  </si>
  <si>
    <t>困</t>
  </si>
  <si>
    <t>没做规划</t>
  </si>
  <si>
    <t>没做规划，失败</t>
  </si>
  <si>
    <r>
      <rPr>
        <rFont val="等线"/>
        <scheme val="minor"/>
        <strike val="true"/>
        <sz val="9.0"/>
      </rPr>
      <t xml:space="preserve">1. 看文章，2. 整理笔记</t>
    </r>
    <r>
      <rPr>
        <rFont val="等线"/>
        <scheme val="minor"/>
        <sz val="9.0"/>
      </rPr>
      <t xml:space="preserve">，3. 听报告，</t>
    </r>
    <r>
      <rPr>
        <rFont val="等线"/>
        <scheme val="minor"/>
        <strike val="true"/>
        <sz val="9.0"/>
      </rPr>
      <t xml:space="preserve">4. 近期会议整理，5. scirate</t>
    </r>
  </si>
  <si>
    <t>总感觉自己哪里
做的不对，哪里
做的不好</t>
  </si>
  <si>
    <r>
      <rPr>
        <rFont val="等线"/>
        <scheme val="minor"/>
        <sz val="9.0"/>
      </rPr>
      <t>1、</t>
    </r>
    <r>
      <rPr>
        <rFont val="等线"/>
        <scheme val="minor"/>
        <strike val="true"/>
        <sz val="9.0"/>
      </rPr>
      <t>完成机器学习本周作业</t>
    </r>
    <r>
      <rPr>
        <rFont val="等线"/>
        <scheme val="minor"/>
        <sz val="9.0"/>
      </rPr>
      <t>2、</t>
    </r>
    <r>
      <rPr>
        <rFont val="等线"/>
        <scheme val="minor"/>
        <strike val="true"/>
        <sz val="9.0"/>
      </rPr>
      <t>复习概统1章</t>
    </r>
    <r>
      <rPr>
        <rFont val="等线"/>
        <scheme val="minor"/>
        <sz val="9.0"/>
      </rPr>
      <t>，量力1章，电动1章、原子一章3、</t>
    </r>
    <r>
      <rPr>
        <rFont val="等线"/>
        <scheme val="minor"/>
        <strike val="true"/>
        <sz val="9.0"/>
      </rPr>
      <t>校园大使联系任务</t>
    </r>
    <r>
      <rPr>
        <rFont val="等线"/>
        <scheme val="minor"/>
        <sz val="9.0"/>
      </rPr>
      <t>、4、</t>
    </r>
    <r>
      <rPr>
        <rFont val="等线"/>
        <scheme val="minor"/>
        <strike val="true"/>
        <sz val="9.0"/>
      </rPr>
      <t>继续练习倒车</t>
    </r>
    <r>
      <rPr>
        <rFont val="等线"/>
        <scheme val="minor"/>
        <sz val="9.0"/>
      </rPr>
      <t>5、看注疏</t>
    </r>
  </si>
  <si>
    <r>
      <rPr>
        <rFont val="等线"/>
        <scheme val="minor"/>
        <strike val="true"/>
        <sz val="9.0"/>
      </rPr>
      <t xml:space="preserve">1. 写代码，2. 笔记整理，3. benchmark 推动</t>
    </r>
    <r>
      <rPr>
        <rFont val="等线"/>
        <scheme val="minor"/>
        <sz val="9.0"/>
      </rPr>
      <t xml:space="preserve">，4. 写作课程注册，</t>
    </r>
    <r>
      <rPr>
        <rFont val="等线"/>
        <scheme val="minor"/>
        <strike val="true"/>
        <sz val="9.0"/>
      </rPr>
      <t xml:space="preserve">5. scirate</t>
    </r>
  </si>
  <si>
    <t>晚上躺在床上，想起手头一堆事情要做，有点心烦意乱</t>
  </si>
  <si>
    <t>我发现自己干啥
都很急躁，这样不
好，但是不知道
怎么慢慢改</t>
  </si>
  <si>
    <t>做事急躁导致事
情没办好</t>
  </si>
  <si>
    <r>
      <rPr>
        <rFont val="等线"/>
        <scheme val="minor"/>
        <sz val="9.0"/>
      </rPr>
      <t xml:space="preserve">1. </t>
    </r>
    <r>
      <rPr>
        <rFont val="等线"/>
        <scheme val="minor"/>
        <strike val="true"/>
        <sz val="9.0"/>
      </rPr>
      <t>概统1章</t>
    </r>
    <r>
      <rPr>
        <rFont val="等线"/>
        <scheme val="minor"/>
        <sz val="9.0"/>
      </rPr>
      <t>、</t>
    </r>
    <r>
      <rPr>
        <rFont val="等线"/>
        <scheme val="minor"/>
        <strike val="true"/>
        <sz val="9.0"/>
      </rPr>
      <t>量力1章</t>
    </r>
    <r>
      <rPr>
        <rFont val="等线"/>
        <scheme val="minor"/>
        <sz val="9.0"/>
      </rPr>
      <t>，电动1章、原子一章2、看注疏</t>
    </r>
  </si>
  <si>
    <t>计划赶不上变化，每天任务都完不成，心焦==</t>
  </si>
  <si>
    <t>学社推动 社联沟通 管子注疏</t>
  </si>
  <si>
    <r>
      <rPr>
        <rFont val="等线"/>
        <scheme val="minor"/>
        <strike val="true"/>
        <sz val="9.0"/>
      </rPr>
      <t xml:space="preserve">1. 写代码，2. 听报告</t>
    </r>
    <r>
      <rPr>
        <rFont val="等线"/>
        <scheme val="minor"/>
        <sz val="9.0"/>
      </rPr>
      <t xml:space="preserve">，3. UTS 课程</t>
    </r>
  </si>
  <si>
    <t>1.高数
2.java</t>
  </si>
  <si>
    <r>
      <rPr>
        <rFont val="等线"/>
        <scheme val="minor"/>
        <sz val="9.0"/>
      </rPr>
      <t xml:space="preserve">1. </t>
    </r>
    <r>
      <rPr>
        <rFont val="等线"/>
        <scheme val="minor"/>
        <strike val="true"/>
        <sz val="9.0"/>
      </rPr>
      <t>概统1章</t>
    </r>
    <r>
      <rPr>
        <rFont val="等线"/>
        <scheme val="minor"/>
        <sz val="9.0"/>
      </rPr>
      <t>、量力一章、电动1章、</t>
    </r>
    <r>
      <rPr>
        <rFont val="等线"/>
        <scheme val="minor"/>
        <strike val="true"/>
        <sz val="9.0"/>
      </rPr>
      <t>原子一章</t>
    </r>
    <r>
      <rPr>
        <rFont val="等线"/>
        <scheme val="minor"/>
        <sz val="9.0"/>
      </rPr>
      <t>2、</t>
    </r>
    <r>
      <rPr>
        <rFont val="等线"/>
        <scheme val="minor"/>
        <strike val="true"/>
        <sz val="9.0"/>
      </rPr>
      <t>看注疏</t>
    </r>
  </si>
  <si>
    <r>
      <rPr>
        <rFont val="等线"/>
        <scheme val="minor"/>
        <strike val="true"/>
        <sz val="9.0"/>
      </rPr>
      <t xml:space="preserve">1. 采购</t>
    </r>
    <r>
      <rPr>
        <rFont val="等线"/>
        <scheme val="minor"/>
        <sz val="9.0"/>
      </rPr>
      <t xml:space="preserve">，2. UTS 课程，3. 代码</t>
    </r>
  </si>
  <si>
    <t>玩了一个下午，有点累</t>
  </si>
  <si>
    <r>
      <rPr>
        <rFont val="等线"/>
        <scheme val="minor"/>
        <sz val="9.0"/>
      </rPr>
      <t xml:space="preserve">1. </t>
    </r>
    <r>
      <rPr>
        <rFont val="等线"/>
        <scheme val="minor"/>
        <strike val="true"/>
        <sz val="9.0"/>
      </rPr>
      <t>概统1章</t>
    </r>
    <r>
      <rPr>
        <rFont val="等线"/>
        <scheme val="minor"/>
        <sz val="9.0"/>
      </rPr>
      <t>、</t>
    </r>
    <r>
      <rPr>
        <rFont val="等线"/>
        <scheme val="minor"/>
        <strike val="true"/>
        <sz val="9.0"/>
      </rPr>
      <t>原子一章</t>
    </r>
  </si>
  <si>
    <t>1.推动学社 2.科研组会 3.宣传稿 4.预案编写 5.收尾工作组</t>
  </si>
  <si>
    <t>1.高数1个ch
2.java一个ch
3.100个单词</t>
  </si>
  <si>
    <t>急躁</t>
  </si>
  <si>
    <t>莫名急躁</t>
  </si>
  <si>
    <r>
      <rPr>
        <rFont val="等线"/>
        <scheme val="minor"/>
        <sz val="9.0"/>
      </rPr>
      <t xml:space="preserve">1. </t>
    </r>
    <r>
      <rPr>
        <rFont val="等线"/>
        <scheme val="minor"/>
        <strike val="true"/>
        <sz val="9.0"/>
      </rPr>
      <t xml:space="preserve">Machine learning一节课</t>
    </r>
    <r>
      <rPr>
        <rFont val="等线"/>
        <scheme val="minor"/>
        <sz val="9.0"/>
      </rPr>
      <t xml:space="preserve">、2 </t>
    </r>
    <r>
      <rPr>
        <rFont val="等线"/>
        <scheme val="minor"/>
        <strike val="true"/>
        <sz val="9.0"/>
      </rPr>
      <t>概统</t>
    </r>
    <r>
      <rPr>
        <rFont val="等线"/>
        <scheme val="minor"/>
        <sz val="9.0"/>
      </rPr>
      <t xml:space="preserve">、量力 </t>
    </r>
    <r>
      <rPr>
        <rFont val="等线"/>
        <scheme val="minor"/>
        <strike val="true"/>
        <sz val="9.0"/>
      </rPr>
      <t>原子、</t>
    </r>
    <r>
      <rPr>
        <rFont val="等线"/>
        <scheme val="minor"/>
        <sz val="9.0"/>
      </rPr>
      <t xml:space="preserve">电动一章、3背单词 4、C语言基础学习</t>
    </r>
  </si>
  <si>
    <t>焦虑</t>
  </si>
  <si>
    <t>快考试了，电动跟量力还没开始复习，焦虑</t>
  </si>
  <si>
    <r>
      <rPr>
        <rFont val="等线"/>
        <scheme val="minor"/>
        <strike val="true"/>
        <sz val="9.0"/>
      </rPr>
      <t xml:space="preserve">1. 代码，2. scirate</t>
    </r>
    <r>
      <rPr>
        <rFont val="等线"/>
        <scheme val="minor"/>
        <sz val="9.0"/>
      </rPr>
      <t xml:space="preserve">，3. study plan，4. 整理房间</t>
    </r>
  </si>
  <si>
    <r>
      <rPr>
        <rFont val="等线"/>
        <scheme val="minor"/>
        <sz val="9.0"/>
      </rPr>
      <t xml:space="preserve">1. 组会ppt </t>
    </r>
    <r>
      <rPr>
        <rFont val="等线"/>
        <scheme val="minor"/>
        <strike val="true"/>
        <sz val="9.0"/>
      </rPr>
      <t>2.学社宣传文案</t>
    </r>
  </si>
  <si>
    <r>
      <rPr>
        <rFont val="等线"/>
        <scheme val="minor"/>
        <sz val="9.0"/>
      </rPr>
      <t>1.</t>
    </r>
    <r>
      <rPr>
        <rFont val="等线"/>
        <scheme val="minor"/>
        <strike val="true"/>
        <sz val="9.0"/>
      </rPr>
      <t>概统</t>
    </r>
    <r>
      <rPr>
        <rFont val="等线"/>
        <scheme val="minor"/>
        <sz val="9.0"/>
      </rPr>
      <t>、量力、</t>
    </r>
    <r>
      <rPr>
        <rFont val="等线"/>
        <scheme val="minor"/>
        <strike val="true"/>
        <sz val="9.0"/>
      </rPr>
      <t>电动</t>
    </r>
    <r>
      <rPr>
        <rFont val="等线"/>
        <scheme val="minor"/>
        <sz val="9.0"/>
      </rPr>
      <t>、</t>
    </r>
    <r>
      <rPr>
        <rFont val="等线"/>
        <scheme val="minor"/>
        <strike val="true"/>
        <sz val="9.0"/>
      </rPr>
      <t>原子</t>
    </r>
    <r>
      <rPr>
        <rFont val="等线"/>
        <scheme val="minor"/>
        <sz val="9.0"/>
      </rPr>
      <t>一章、2</t>
    </r>
    <r>
      <rPr>
        <rFont val="等线"/>
        <scheme val="minor"/>
        <strike val="true"/>
        <sz val="9.0"/>
      </rPr>
      <t>购物</t>
    </r>
  </si>
  <si>
    <t>开心</t>
  </si>
  <si>
    <r>
      <rPr>
        <rFont val="等线"/>
        <scheme val="minor"/>
        <strike val="true"/>
        <sz val="9.0"/>
      </rPr>
      <t xml:space="preserve">1. 邮件，2. 代码</t>
    </r>
    <r>
      <rPr>
        <rFont val="等线"/>
        <scheme val="minor"/>
        <sz val="9.0"/>
      </rPr>
      <t xml:space="preserve">，3. study plan，</t>
    </r>
    <r>
      <rPr>
        <rFont val="等线"/>
        <scheme val="minor"/>
        <strike val="true"/>
        <sz val="9.0"/>
      </rPr>
      <t xml:space="preserve">4. scirate</t>
    </r>
  </si>
  <si>
    <t>1 看两页世界史 2练习小钟琴 3 开始注疏</t>
  </si>
  <si>
    <t>1. ppt 2.讲组会 3. 整理房间 4. 问香港返校事项</t>
  </si>
  <si>
    <t>1.高数0.5个ch
2.java一个ch
3.100个单词</t>
  </si>
  <si>
    <r>
      <rPr>
        <rFont val="等线"/>
        <scheme val="minor"/>
        <sz val="9.0"/>
      </rPr>
      <t>1.</t>
    </r>
    <r>
      <rPr>
        <rFont val="等线"/>
        <scheme val="minor"/>
        <strike val="true"/>
        <sz val="9.0"/>
      </rPr>
      <t>概统</t>
    </r>
    <r>
      <rPr>
        <rFont val="等线"/>
        <scheme val="minor"/>
        <sz val="9.0"/>
      </rPr>
      <t>、量力、电动、原子一章</t>
    </r>
  </si>
  <si>
    <r>
      <rPr>
        <rFont val="等线"/>
        <scheme val="minor"/>
        <strike val="true"/>
        <sz val="9.0"/>
      </rPr>
      <t xml:space="preserve">1. 代码</t>
    </r>
    <r>
      <rPr>
        <rFont val="等线"/>
        <scheme val="minor"/>
        <sz val="9.0"/>
      </rPr>
      <t xml:space="preserve">，2. 课程，</t>
    </r>
    <r>
      <rPr>
        <rFont val="等线"/>
        <scheme val="minor"/>
        <strike val="true"/>
        <sz val="9.0"/>
      </rPr>
      <t xml:space="preserve">3. scirate</t>
    </r>
  </si>
  <si>
    <t>1 看两页世界史 2练习小钟琴 3 注疏</t>
  </si>
  <si>
    <r>
      <rPr>
        <rFont val="等线"/>
        <scheme val="minor"/>
        <strike val="true"/>
        <sz val="9.0"/>
      </rPr>
      <t>1.咨询并处理返港事宜</t>
    </r>
    <r>
      <rPr>
        <rFont val="等线"/>
        <scheme val="minor"/>
        <sz val="9.0"/>
      </rPr>
      <t xml:space="preserve"> 2.学社推动 3.甲组俸禄结算 4.写文章</t>
    </r>
  </si>
  <si>
    <t>无记录</t>
  </si>
  <si>
    <t>1.概统、量力、电动、原子一章</t>
  </si>
  <si>
    <t>备注:只完成了概统和半章电动的复习，写完了形势与政策的期末论文</t>
  </si>
  <si>
    <r>
      <rPr>
        <rFont val="等线"/>
        <scheme val="minor"/>
        <strike val="true"/>
        <sz val="9.0"/>
      </rPr>
      <t xml:space="preserve">1. 写作课程规划</t>
    </r>
    <r>
      <rPr>
        <rFont val="等线"/>
        <scheme val="minor"/>
        <sz val="9.0"/>
      </rPr>
      <t>，</t>
    </r>
    <r>
      <rPr>
        <rFont val="等线"/>
        <scheme val="minor"/>
        <strike val="true"/>
        <sz val="9.0"/>
      </rPr>
      <t xml:space="preserve">2. 代码测试</t>
    </r>
    <r>
      <rPr>
        <rFont val="等线"/>
        <scheme val="minor"/>
        <sz val="9.0"/>
      </rPr>
      <t xml:space="preserve">，3. study plan，</t>
    </r>
    <r>
      <rPr>
        <rFont val="等线"/>
        <scheme val="minor"/>
        <strike val="true"/>
        <sz val="9.0"/>
      </rPr>
      <t xml:space="preserve">4. scirate</t>
    </r>
  </si>
  <si>
    <t xml:space="preserve">1. 选课 2. 学社推送 </t>
  </si>
  <si>
    <t>1. 改文章，2. scirate，3. study plan</t>
  </si>
  <si>
    <t>摸了一天🐟，好累</t>
  </si>
  <si>
    <t xml:space="preserve">1. 推送 2. 论文复查 3. </t>
  </si>
  <si>
    <t>1.2个大物ch
2.2个java ch
3.1个高数ch</t>
  </si>
  <si>
    <t>完成情况：
1. 2个大物ch
2. 1个java ch
继续加油！</t>
  </si>
  <si>
    <t>1. 改文章，2. scirate</t>
  </si>
  <si>
    <t>1.  4个大物ch
2.  1个高数ch
3.  1个java ch</t>
  </si>
  <si>
    <t>完成情况：
1个 java ch
1个 大物ch</t>
  </si>
  <si>
    <r>
      <rPr>
        <rFont val="等线"/>
        <scheme val="minor"/>
        <strike val="true"/>
        <sz val="9.0"/>
      </rPr>
      <t xml:space="preserve">1. UTS 课程</t>
    </r>
    <r>
      <rPr>
        <rFont val="等线"/>
        <scheme val="minor"/>
        <sz val="9.0"/>
      </rPr>
      <t xml:space="preserve">，2. benchmark</t>
    </r>
  </si>
  <si>
    <t>1.  7个大物ch
2.  1个高数ch
3.  1个java ch</t>
  </si>
  <si>
    <t>今天休息</t>
  </si>
  <si>
    <r>
      <rPr>
        <rFont val="等线"/>
        <scheme val="minor"/>
        <strike val="true"/>
        <sz val="9.0"/>
      </rPr>
      <t xml:space="preserve">1. benchmark</t>
    </r>
    <r>
      <rPr>
        <rFont val="等线"/>
        <scheme val="minor"/>
        <sz val="9.0"/>
      </rPr>
      <t xml:space="preserve">，2. 代码，</t>
    </r>
    <r>
      <rPr>
        <rFont val="等线"/>
        <scheme val="minor"/>
        <strike val="true"/>
        <sz val="9.0"/>
      </rPr>
      <t xml:space="preserve">3. scirate</t>
    </r>
    <r>
      <rPr>
        <rFont val="等线"/>
        <scheme val="minor"/>
        <sz val="9.0"/>
      </rPr>
      <t xml:space="preserve">，4. 课程，</t>
    </r>
    <r>
      <rPr>
        <rFont val="等线"/>
        <scheme val="minor"/>
        <strike val="true"/>
        <sz val="9.0"/>
      </rPr>
      <t xml:space="preserve">5. 解题</t>
    </r>
  </si>
  <si>
    <r>
      <rPr>
        <rFont val="等线"/>
        <scheme val="minor"/>
        <strike val="true"/>
        <sz val="9.0"/>
      </rPr>
      <t xml:space="preserve">1. 写文章 2</t>
    </r>
    <r>
      <rPr>
        <rFont val="等线"/>
        <scheme val="minor"/>
        <sz val="9.0"/>
      </rPr>
      <t xml:space="preserve">. 研究返校事宜 3.科研</t>
    </r>
  </si>
  <si>
    <r>
      <rPr>
        <rFont val="等线"/>
        <scheme val="minor"/>
        <strike val="true"/>
        <sz val="9.0"/>
      </rPr>
      <t xml:space="preserve">1. 模拟</t>
    </r>
    <r>
      <rPr>
        <rFont val="等线"/>
        <scheme val="minor"/>
        <sz val="9.0"/>
      </rPr>
      <t xml:space="preserve">，2. 上课，3. 改文章</t>
    </r>
  </si>
  <si>
    <r>
      <rPr>
        <rFont val="等线"/>
        <scheme val="minor"/>
        <sz val="9.0"/>
      </rPr>
      <t>1.</t>
    </r>
    <r>
      <rPr>
        <rFont val="等线"/>
        <scheme val="minor"/>
        <strike val="true"/>
        <sz val="9.0"/>
      </rPr>
      <t>完成马原期末论文</t>
    </r>
    <r>
      <rPr>
        <rFont val="等线"/>
        <scheme val="minor"/>
        <sz val="9.0"/>
      </rPr>
      <t xml:space="preserve"> 2、</t>
    </r>
    <r>
      <rPr>
        <rFont val="等线"/>
        <scheme val="minor"/>
        <strike val="true"/>
        <sz val="9.0"/>
      </rPr>
      <t>复习原子前三章</t>
    </r>
    <r>
      <rPr>
        <rFont val="等线"/>
        <scheme val="minor"/>
        <sz val="9.0"/>
      </rPr>
      <t xml:space="preserve"> 3、C语言编程练习</t>
    </r>
  </si>
  <si>
    <t>1.大学物理
2.马原论文+300字
3.高等数学
4.java</t>
  </si>
  <si>
    <r>
      <rPr>
        <rFont val="等线"/>
        <scheme val="minor"/>
        <strike val="true"/>
        <sz val="9.0"/>
      </rPr>
      <t xml:space="preserve">1. 模拟，2. 改文章</t>
    </r>
    <r>
      <rPr>
        <rFont val="等线"/>
        <scheme val="minor"/>
        <sz val="9.0"/>
      </rPr>
      <t xml:space="preserve">，3. scirate，</t>
    </r>
    <r>
      <rPr>
        <rFont val="等线"/>
        <scheme val="minor"/>
        <strike val="true"/>
        <sz val="9.0"/>
      </rPr>
      <t xml:space="preserve">4. 听报告</t>
    </r>
  </si>
  <si>
    <t>复习</t>
  </si>
  <si>
    <r>
      <rPr>
        <rFont val="等线"/>
        <scheme val="minor"/>
        <sz val="9.0"/>
      </rPr>
      <t xml:space="preserve">1. 前两天堆积的 scirate，</t>
    </r>
    <r>
      <rPr>
        <rFont val="等线"/>
        <scheme val="minor"/>
        <strike val="true"/>
        <sz val="9.0"/>
      </rPr>
      <t xml:space="preserve">2. 讨论，3. 课程</t>
    </r>
  </si>
  <si>
    <t>悲伤</t>
  </si>
  <si>
    <t>太饿了，想回家，学校的饭太难吃了</t>
  </si>
  <si>
    <t>高数复习</t>
  </si>
  <si>
    <t>处于困境所带来的焦虑之中，闷在自己心中完全找不到出路，看来得写出来和大家交流下</t>
  </si>
  <si>
    <r>
      <rPr>
        <rFont val="等线"/>
        <scheme val="minor"/>
        <strike val="true"/>
        <sz val="9.0"/>
      </rPr>
      <t xml:space="preserve">1. 课程</t>
    </r>
    <r>
      <rPr>
        <rFont val="等线"/>
        <scheme val="minor"/>
        <sz val="9.0"/>
      </rPr>
      <t xml:space="preserve">，2. debug，3. 改文章，4. scirate</t>
    </r>
  </si>
  <si>
    <r>
      <rPr>
        <rFont val="等线"/>
        <scheme val="minor"/>
        <sz val="9.0"/>
      </rPr>
      <t>1.复习一章</t>
    </r>
    <r>
      <rPr>
        <rFont val="等线"/>
        <scheme val="minor"/>
        <strike val="true"/>
        <sz val="9.0"/>
      </rPr>
      <t>量子力学</t>
    </r>
    <r>
      <rPr>
        <rFont val="等线"/>
        <scheme val="minor"/>
        <sz val="9.0"/>
      </rPr>
      <t xml:space="preserve">，概统 2、预习线代2 3、每日python</t>
    </r>
  </si>
  <si>
    <r>
      <rPr>
        <rFont val="等线"/>
        <scheme val="minor"/>
        <sz val="9.0"/>
      </rPr>
      <t xml:space="preserve">1 看两页世界史 </t>
    </r>
    <r>
      <rPr>
        <rFont val="等线"/>
        <scheme val="minor"/>
        <sz val="9.0"/>
        <color rgb="FF9900"/>
      </rPr>
      <t>2练习小钟琴</t>
    </r>
  </si>
  <si>
    <r>
      <rPr>
        <rFont val="等线"/>
        <scheme val="minor"/>
        <strike val="true"/>
        <sz val="9.0"/>
      </rPr>
      <t xml:space="preserve">1. 改文章</t>
    </r>
    <r>
      <rPr>
        <rFont val="等线"/>
        <scheme val="minor"/>
        <sz val="9.0"/>
      </rPr>
      <t xml:space="preserve">，2. debug，3. scirate</t>
    </r>
  </si>
  <si>
    <r>
      <rPr>
        <rFont val="等线"/>
        <scheme val="minor"/>
        <sz val="9.0"/>
      </rPr>
      <t>1.复习</t>
    </r>
    <r>
      <rPr>
        <rFont val="等线"/>
        <scheme val="minor"/>
        <strike val="true"/>
        <sz val="9.0"/>
      </rPr>
      <t>量力一章</t>
    </r>
    <r>
      <rPr>
        <rFont val="等线"/>
        <scheme val="minor"/>
        <sz val="9.0"/>
      </rPr>
      <t xml:space="preserve">
2.预习一节数理统计
3.python一天
4.背单词
5.</t>
    </r>
    <r>
      <rPr>
        <rFont val="等线"/>
        <scheme val="minor"/>
        <strike val="true"/>
        <sz val="9.0"/>
      </rPr>
      <t>找鲁老师聊天</t>
    </r>
  </si>
  <si>
    <t>纠结</t>
  </si>
  <si>
    <t>对于自己认识不够清楚，导致之前选择出错，从今以后好好决断</t>
  </si>
  <si>
    <r>
      <rPr>
        <rFont val="等线"/>
        <scheme val="minor"/>
        <strike val="true"/>
        <sz val="9.0"/>
      </rPr>
      <t xml:space="preserve">1. 上课1h</t>
    </r>
    <r>
      <rPr>
        <rFont val="等线"/>
        <scheme val="minor"/>
        <sz val="9.0"/>
      </rPr>
      <t xml:space="preserve">，2. 准备报告，3. debug，4. scirate</t>
    </r>
  </si>
  <si>
    <t>1.复习量力2节、2.注疏、3. 学习python一天</t>
  </si>
  <si>
    <t>说明</t>
  </si>
  <si>
    <t>不刷无聊图网站</t>
  </si>
  <si>
    <t>每天看书0.5h</t>
  </si>
  <si>
    <t>学习数学至少20min</t>
  </si>
  <si>
    <t>习惯（戒断）</t>
  </si>
  <si>
    <t>1.戒断不良习惯 and/or 2. 培养新习惯（如每日复习，每日单词）</t>
  </si>
  <si>
    <t>张三示例</t>
  </si>
  <si>
    <t>李四示例</t>
  </si>
  <si>
    <t>戒断起床后刷手机</t>
  </si>
  <si>
    <t>100英语词汇（未定）</t>
  </si>
  <si>
    <t>每天听半小时报告</t>
  </si>
  <si>
    <t>每天100单词</t>
  </si>
  <si>
    <t>坚持写日记</t>
  </si>
  <si>
    <t>减少看B站视频</t>
  </si>
  <si>
    <t>每天敷面膜</t>
  </si>
  <si>
    <t>戒刷无聊搞笑图片网站</t>
  </si>
  <si>
    <t>每天100个单词</t>
  </si>
  <si>
    <t>白天戒b站，微博</t>
  </si>
  <si>
    <t>每天看半小时书</t>
  </si>
  <si>
    <t>戒断白天刷b站一切萌宠、炮姐视频</t>
  </si>
  <si>
    <t>每天坚持学C</t>
  </si>
  <si>
    <t>第一周得分</t>
  </si>
  <si>
    <t>第二周得分</t>
  </si>
  <si>
    <t>第三周得分</t>
  </si>
  <si>
    <t>第四周得分</t>
  </si>
  <si>
    <t>第五周得分</t>
  </si>
  <si>
    <t>额外加分（邀请，出勤，等等）</t>
  </si>
  <si>
    <t>注疏活动得分</t>
  </si>
  <si>
    <t>MVP得分</t>
  </si>
  <si>
    <t>总分</t>
  </si>
  <si>
    <t>名次</t>
  </si>
  <si>
    <t>修身季第二周末得分排名</t>
  </si>
  <si>
    <t>总积分</t>
  </si>
  <si>
    <t>黄忠淦</t>
  </si>
  <si>
    <t>白钊羽</t>
  </si>
  <si>
    <t>李佳南</t>
  </si>
  <si>
    <t>张一凡</t>
  </si>
  <si>
    <t>邵云天</t>
  </si>
  <si>
    <t>何宇阳</t>
  </si>
  <si>
    <t>申芷萁</t>
  </si>
  <si>
    <t>郑竹溪</t>
  </si>
  <si>
    <t>刘怡</t>
  </si>
  <si>
    <t>翟一卜</t>
  </si>
  <si>
    <t>郭佳龙</t>
  </si>
  <si>
    <t>官博文</t>
  </si>
  <si>
    <t>胡凌云</t>
  </si>
  <si>
    <t>陈昶元</t>
  </si>
  <si>
    <t>张开航</t>
  </si>
  <si>
    <t>陈苏畅</t>
  </si>
  <si>
    <t>胡锐</t>
  </si>
  <si>
    <t>韩睿远</t>
  </si>
  <si>
    <t>徐靖夫</t>
  </si>
  <si>
    <t>莫悦剑</t>
  </si>
  <si>
    <t>林睿军</t>
  </si>
  <si>
    <t>曹迅千荻</t>
  </si>
  <si>
    <t>覃天泽</t>
  </si>
  <si>
    <t>黄俊龙</t>
  </si>
  <si>
    <t>李世超</t>
  </si>
  <si>
    <t>赵云龙</t>
  </si>
  <si>
    <t>杨乐天</t>
  </si>
  <si>
    <t>许元</t>
  </si>
  <si>
    <t>谢哲姝</t>
  </si>
  <si>
    <t>注疏写作</t>
  </si>
  <si>
    <t>提问</t>
  </si>
  <si>
    <t>注疏讲解</t>
  </si>
  <si>
    <t>问题回答</t>
  </si>
</sst>
</file>

<file path=xl/styles.xml><?xml version="1.0" encoding="utf-8"?>
<styleSheet xmlns="http://schemas.openxmlformats.org/spreadsheetml/2006/main">
  <numFmts count="4">
    <numFmt numFmtId="164" formatCode="m&quot;月&quot;d&quot;日&quot;;@"/>
    <numFmt numFmtId="165" formatCode="yyyy/m/d"/>
    <numFmt numFmtId="166" formatCode="h:mm;@"/>
    <numFmt numFmtId="167" formatCode="h:mm:ss;@"/>
  </numFmts>
  <fonts count="16">
    <font>
      <sz val="12.0"/>
      <color indexed="8"/>
      <name val="等线"/>
      <family val="2"/>
      <scheme val="minor"/>
    </font>
    <font>
      <name val="等线"/>
      <sz val="9.0"/>
      <scheme val="minor"/>
      <strike val="false"/>
    </font>
    <font>
      <name val="等线"/>
      <sz val="9.0"/>
      <scheme val="minor"/>
      <strike val="false"/>
      <color rgb="511B78"/>
    </font>
    <font>
      <name val="等线"/>
      <sz val="9.0"/>
      <b val="true"/>
      <scheme val="minor"/>
      <strike val="false"/>
      <color rgb="FE2C23"/>
    </font>
    <font>
      <name val="等线"/>
      <sz val="9.0"/>
      <b val="true"/>
      <scheme val="minor"/>
      <strike val="false"/>
      <color rgb="19439C"/>
    </font>
    <font>
      <name val="等线"/>
      <sz val="9.0"/>
      <b val="true"/>
      <scheme val="minor"/>
      <strike val="false"/>
      <color rgb="19439C"/>
    </font>
    <font>
      <name val="等线"/>
      <sz val="9.0"/>
      <scheme val="minor"/>
      <strike val="false"/>
      <color rgb="0D0015"/>
    </font>
    <font>
      <name val="等线"/>
      <sz val="9.0"/>
      <scheme val="minor"/>
      <strike val="false"/>
      <color rgb="0D0115"/>
    </font>
    <font>
      <name val="等线"/>
      <sz val="9.0"/>
      <b val="true"/>
      <scheme val="minor"/>
      <strike val="false"/>
      <color rgb="1C7892"/>
    </font>
    <font>
      <name val="等线"/>
      <sz val="9.0"/>
      <scheme val="minor"/>
      <strike val="false"/>
      <color rgb="FE2C23"/>
    </font>
    <font>
      <name val="等线"/>
      <sz val="9.0"/>
      <b val="true"/>
      <scheme val="minor"/>
      <strike val="false"/>
    </font>
    <font>
      <name val="等线"/>
      <sz val="9.0"/>
      <b val="true"/>
      <scheme val="minor"/>
      <strike val="false"/>
      <color rgb="1C7892"/>
    </font>
    <font>
      <name val="等线"/>
      <sz val="9.0"/>
      <scheme val="minor"/>
      <strike val="false"/>
      <color rgb="511B78"/>
    </font>
    <font>
      <name val="等线"/>
      <sz val="9.0"/>
      <scheme val="minor"/>
      <strike val="true"/>
    </font>
    <font>
      <name val="等线"/>
      <sz val="9.0"/>
      <scheme val="minor"/>
      <strike val="false"/>
      <color rgb="000000"/>
    </font>
    <font>
      <name val="宋体"/>
      <sz val="11.0"/>
      <strike val="false"/>
    </font>
  </fonts>
  <fills count="34">
    <fill>
      <patternFill patternType="none"/>
    </fill>
    <fill>
      <patternFill patternType="darkGray"/>
    </fill>
    <fill>
      <patternFill patternType="none">
        <fgColor rgb="C7E6EA"/>
      </patternFill>
    </fill>
    <fill>
      <patternFill patternType="solid">
        <fgColor rgb="C7E6EA"/>
      </patternFill>
    </fill>
    <fill>
      <patternFill patternType="none">
        <fgColor rgb="FFD7B9"/>
      </patternFill>
    </fill>
    <fill>
      <patternFill patternType="solid">
        <fgColor rgb="FFD7B9"/>
      </patternFill>
    </fill>
    <fill>
      <patternFill patternType="none">
        <fgColor rgb="DDF3F3"/>
      </patternFill>
    </fill>
    <fill>
      <patternFill patternType="solid">
        <fgColor rgb="DDF3F3"/>
      </patternFill>
    </fill>
    <fill>
      <patternFill patternType="none">
        <fgColor rgb="FBD4D0"/>
      </patternFill>
    </fill>
    <fill>
      <patternFill patternType="solid">
        <fgColor rgb="FBD4D0"/>
      </patternFill>
    </fill>
    <fill>
      <patternFill patternType="none">
        <fgColor rgb="CCE0F1"/>
      </patternFill>
    </fill>
    <fill>
      <patternFill patternType="solid">
        <fgColor rgb="CCE0F1"/>
      </patternFill>
    </fill>
    <fill>
      <patternFill patternType="none">
        <fgColor rgb="D4E9D6"/>
      </patternFill>
    </fill>
    <fill>
      <patternFill patternType="solid">
        <fgColor rgb="D4E9D6"/>
      </patternFill>
    </fill>
    <fill>
      <patternFill patternType="none">
        <fgColor rgb="FF9900"/>
      </patternFill>
    </fill>
    <fill>
      <patternFill patternType="solid">
        <fgColor rgb="FF9900"/>
      </patternFill>
    </fill>
    <fill>
      <patternFill patternType="none">
        <fgColor rgb="E6FAFA"/>
      </patternFill>
    </fill>
    <fill>
      <patternFill patternType="solid">
        <fgColor rgb="E6FAFA"/>
      </patternFill>
    </fill>
    <fill>
      <patternFill patternType="none">
        <fgColor rgb="FDDBD5"/>
      </patternFill>
    </fill>
    <fill>
      <patternFill patternType="solid">
        <fgColor rgb="FDDBD5"/>
      </patternFill>
    </fill>
    <fill>
      <patternFill patternType="none">
        <fgColor rgb="79C6CD"/>
      </patternFill>
    </fill>
    <fill>
      <patternFill patternType="solid">
        <fgColor rgb="79C6CD"/>
      </patternFill>
    </fill>
    <fill>
      <patternFill patternType="none">
        <fgColor rgb="CEE0F0"/>
      </patternFill>
    </fill>
    <fill>
      <patternFill patternType="solid">
        <fgColor rgb="CEE0F0"/>
      </patternFill>
    </fill>
    <fill>
      <patternFill patternType="none">
        <fgColor rgb="FAA573"/>
      </patternFill>
    </fill>
    <fill>
      <patternFill patternType="solid">
        <fgColor rgb="FAA573"/>
      </patternFill>
    </fill>
    <fill>
      <patternFill patternType="none">
        <fgColor rgb="FEEACF"/>
      </patternFill>
    </fill>
    <fill>
      <patternFill patternType="solid">
        <fgColor rgb="FEEACF"/>
      </patternFill>
    </fill>
    <fill>
      <patternFill patternType="none">
        <fgColor rgb="FFFFFF"/>
      </patternFill>
    </fill>
    <fill>
      <patternFill patternType="solid">
        <fgColor rgb="FFFFFF"/>
      </patternFill>
    </fill>
    <fill>
      <patternFill patternType="none">
        <fgColor rgb="FEF5E7"/>
      </patternFill>
    </fill>
    <fill>
      <patternFill patternType="solid">
        <fgColor rgb="FEF5E7"/>
      </patternFill>
    </fill>
    <fill>
      <patternFill patternType="none">
        <fgColor rgb="FFF1CD"/>
      </patternFill>
    </fill>
    <fill>
      <patternFill patternType="solid">
        <fgColor rgb="FFF1CD"/>
      </patternFill>
    </fill>
  </fills>
  <borders count="18">
    <border>
      <left/>
      <right/>
      <top/>
      <bottom/>
      <diagonal/>
    </border>
    <border/>
    <border>
      <top>
        <color rgb="2B2B2B"/>
      </top>
    </border>
    <border>
      <top style="thin">
        <color rgb="2B2B2B"/>
      </top>
    </border>
    <border>
      <left>
        <color rgb="2B2B2B"/>
      </left>
      <top style="thin">
        <color rgb="2B2B2B"/>
      </top>
    </border>
    <border>
      <left style="thin">
        <color rgb="2B2B2B"/>
      </left>
      <top style="thin">
        <color rgb="2B2B2B"/>
      </top>
    </border>
    <border>
      <right>
        <color rgb="2B2B2B"/>
      </right>
      <top style="thin">
        <color rgb="2B2B2B"/>
      </top>
    </border>
    <border>
      <right style="thin">
        <color rgb="2B2B2B"/>
      </right>
      <top style="thin">
        <color rgb="2B2B2B"/>
      </top>
    </border>
    <border>
      <bottom>
        <color rgb="2B2B2B"/>
      </bottom>
    </border>
    <border>
      <bottom style="thin">
        <color rgb="2B2B2B"/>
      </bottom>
    </border>
    <border>
      <left>
        <color rgb="2B2B2B"/>
      </left>
      <bottom style="thin">
        <color rgb="2B2B2B"/>
      </bottom>
    </border>
    <border>
      <left style="thin">
        <color rgb="2B2B2B"/>
      </left>
      <bottom style="thin">
        <color rgb="2B2B2B"/>
      </bottom>
    </border>
    <border>
      <right>
        <color rgb="2B2B2B"/>
      </right>
      <bottom style="thin">
        <color rgb="2B2B2B"/>
      </bottom>
    </border>
    <border>
      <right style="thin">
        <color rgb="2B2B2B"/>
      </right>
      <bottom style="thin">
        <color rgb="2B2B2B"/>
      </bottom>
    </border>
    <border>
      <left>
        <color rgb="2B2B2B"/>
      </left>
    </border>
    <border>
      <left style="thin">
        <color rgb="2B2B2B"/>
      </left>
    </border>
    <border>
      <right>
        <color rgb="2B2B2B"/>
      </right>
    </border>
    <border>
      <right style="thin">
        <color rgb="2B2B2B"/>
      </right>
    </border>
  </borders>
  <cellStyleXfs count="1">
    <xf numFmtId="0" fontId="0" fillId="0" borderId="0"/>
  </cellStyleXfs>
  <cellXfs count="294">
    <xf numFmtId="0" fontId="0" fillId="0" borderId="0" xfId="0"/>
    <xf numFmtId="0" fontId="1" fillId="0" borderId="1" xfId="0" applyBorder="true" quotePrefix="false" applyNumberFormat="false" applyFont="true">
      <alignment vertical="center" wrapText="false"/>
    </xf>
    <xf numFmtId="0" fontId="1" fillId="0" borderId="1" xfId="0" applyBorder="true" quotePrefix="false" applyNumberFormat="false" applyFont="true">
      <alignment vertical="center" wrapText="false"/>
    </xf>
    <xf numFmtId="164" fontId="1" fillId="0" borderId="1" xfId="0" applyBorder="true" quotePrefix="false" applyNumberFormat="true" applyFont="true">
      <alignment vertical="center" wrapText="false"/>
    </xf>
    <xf numFmtId="165" fontId="1" fillId="0" borderId="1" xfId="0" applyBorder="true" quotePrefix="false" applyNumberFormat="true" applyFont="true">
      <alignment vertical="center" wrapText="false"/>
    </xf>
    <xf numFmtId="0" fontId="1" fillId="0" borderId="1" xfId="0" applyBorder="true" quotePrefix="false" applyNumberFormat="false" applyFont="true">
      <alignment vertical="center" wrapText="true"/>
    </xf>
    <xf numFmtId="165" fontId="1" fillId="0" borderId="5" xfId="0" applyBorder="true" quotePrefix="false" applyNumberFormat="true" applyFont="true">
      <alignment vertical="center" wrapText="false"/>
    </xf>
    <xf numFmtId="0" fontId="1" fillId="0" borderId="3" xfId="0" applyBorder="true" quotePrefix="false" applyNumberFormat="false" applyFont="true">
      <alignment vertical="center" wrapText="false"/>
    </xf>
    <xf numFmtId="0" fontId="1" fillId="0" borderId="7" xfId="0" applyBorder="true" quotePrefix="false" applyNumberFormat="false" applyFont="true">
      <alignment vertical="center" wrapText="false"/>
    </xf>
    <xf numFmtId="0" fontId="1" fillId="0" borderId="11" xfId="0" applyBorder="true" quotePrefix="false" applyNumberFormat="false" applyFont="true">
      <alignment vertical="center" wrapText="false"/>
    </xf>
    <xf numFmtId="0" fontId="1" fillId="0" borderId="9" xfId="0" applyBorder="true" quotePrefix="false" applyNumberFormat="false" applyFont="true">
      <alignment vertical="center" wrapText="true"/>
    </xf>
    <xf numFmtId="0" fontId="1" fillId="0" borderId="13" xfId="0" applyBorder="true" quotePrefix="false" applyNumberFormat="false" applyFont="true">
      <alignment vertical="center" wrapText="true"/>
    </xf>
    <xf numFmtId="0" fontId="1" fillId="3" borderId="1" xfId="0" applyFill="true" applyBorder="true" quotePrefix="false" applyNumberFormat="false" applyFont="true">
      <alignment vertical="center" wrapText="true"/>
    </xf>
    <xf numFmtId="0" fontId="1" fillId="5" borderId="1" xfId="0" applyFill="true" applyBorder="true" quotePrefix="false" applyNumberFormat="false" applyFont="true">
      <alignment vertical="center" wrapText="true"/>
    </xf>
    <xf numFmtId="0" fontId="2" fillId="0" borderId="1" xfId="0" applyBorder="true" quotePrefix="false" applyNumberFormat="false" applyFont="true">
      <alignment vertical="center" wrapText="false"/>
    </xf>
    <xf numFmtId="0" fontId="1" fillId="0" borderId="1" xfId="0" applyBorder="true" quotePrefix="false" applyNumberFormat="false" applyFont="true">
      <alignment vertical="center" wrapText="true"/>
    </xf>
    <xf numFmtId="165" fontId="1" fillId="0" borderId="1" xfId="0" applyBorder="true" quotePrefix="false" applyNumberFormat="true" applyFont="true">
      <alignment vertical="center" wrapText="false"/>
    </xf>
    <xf numFmtId="165" fontId="1" fillId="0" borderId="1" xfId="0" applyBorder="true" quotePrefix="false" applyNumberFormat="true" applyFont="true">
      <alignment vertical="center" wrapText="false"/>
    </xf>
    <xf numFmtId="0" fontId="3" fillId="0" borderId="1" xfId="0" applyBorder="true" quotePrefix="false" applyNumberFormat="false" applyFont="true">
      <alignment vertical="center" wrapText="false"/>
    </xf>
    <xf numFmtId="0" fontId="3" fillId="0" borderId="1" xfId="0" applyBorder="true" quotePrefix="false" applyNumberFormat="false" applyFont="true">
      <alignment vertical="center" wrapText="true"/>
    </xf>
    <xf numFmtId="0" fontId="4" fillId="0" borderId="1" xfId="0" applyBorder="true" quotePrefix="false" applyNumberFormat="false" applyFont="true">
      <alignment vertical="center" wrapText="false"/>
    </xf>
    <xf numFmtId="0" fontId="1" fillId="0" borderId="1" xfId="0" applyBorder="true" quotePrefix="false" applyNumberFormat="true" applyFont="true">
      <alignment vertical="center" wrapText="true"/>
    </xf>
    <xf numFmtId="0" fontId="1" fillId="0" borderId="1" xfId="0" applyBorder="true" quotePrefix="false" applyNumberFormat="true" applyFont="true">
      <alignment vertical="center" wrapText="false"/>
    </xf>
    <xf numFmtId="0" fontId="5" fillId="0" borderId="1" xfId="0" applyBorder="true" quotePrefix="false" applyNumberFormat="false" applyFont="true">
      <alignment vertical="center" wrapText="true"/>
    </xf>
    <xf numFmtId="0" fontId="5" fillId="0" borderId="1" xfId="0" applyBorder="true" quotePrefix="false" applyNumberFormat="false" applyFont="true">
      <alignment vertical="center" wrapText="false"/>
    </xf>
    <xf numFmtId="0" fontId="1" fillId="3" borderId="1" xfId="0" applyFill="true" applyBorder="true" quotePrefix="false" applyNumberFormat="false" applyFont="true">
      <alignment vertical="center" wrapText="false"/>
    </xf>
    <xf numFmtId="0" fontId="1" fillId="5" borderId="1" xfId="0" applyFill="true" applyBorder="true" quotePrefix="false" applyNumberFormat="false" applyFont="true">
      <alignment vertical="center" wrapText="false"/>
    </xf>
    <xf numFmtId="0" fontId="1" fillId="7" borderId="1" xfId="0" applyFill="true" applyBorder="true" quotePrefix="false" applyNumberFormat="false" applyFont="true">
      <alignment vertical="center" wrapText="false"/>
    </xf>
    <xf numFmtId="0" fontId="3" fillId="0" borderId="1" xfId="0" applyBorder="true" quotePrefix="false" applyNumberFormat="false" applyFont="true">
      <alignment vertical="center" wrapText="false"/>
    </xf>
    <xf numFmtId="0" fontId="5" fillId="0" borderId="1" xfId="0" applyBorder="true" quotePrefix="false" applyNumberFormat="false" applyFont="true">
      <alignment vertical="center" wrapText="false"/>
    </xf>
    <xf numFmtId="0" fontId="6" fillId="3" borderId="1" xfId="0" applyFill="true" applyBorder="true" quotePrefix="false" applyNumberFormat="false" applyFont="true">
      <alignment vertical="center" wrapText="false"/>
    </xf>
    <xf numFmtId="0" fontId="1" fillId="0" borderId="1" xfId="0" applyBorder="true" quotePrefix="false" applyNumberFormat="true" applyFont="true">
      <alignment vertical="center" wrapText="false"/>
    </xf>
    <xf numFmtId="0" fontId="1" fillId="0" borderId="7" xfId="0" applyBorder="true" quotePrefix="false" applyNumberFormat="false" applyFont="true">
      <alignment vertical="center" wrapText="true"/>
    </xf>
    <xf numFmtId="0" fontId="1" fillId="0" borderId="1" xfId="0" applyBorder="true" quotePrefix="false" applyNumberFormat="true" applyFont="true">
      <alignment vertical="center" wrapText="true"/>
    </xf>
    <xf numFmtId="0" fontId="2" fillId="0" borderId="1" xfId="0" applyBorder="true" quotePrefix="false" applyNumberFormat="false" applyFont="true">
      <alignment vertical="center" wrapText="true"/>
    </xf>
    <xf numFmtId="0" fontId="4" fillId="0" borderId="1" xfId="0" applyBorder="true" quotePrefix="false" applyNumberFormat="false" applyFont="true">
      <alignment vertical="center" wrapText="false"/>
    </xf>
    <xf numFmtId="0" fontId="1" fillId="0" borderId="1" xfId="0" applyBorder="true" quotePrefix="false" applyNumberFormat="false" applyFont="true">
      <alignment vertical="center" wrapText="false"/>
    </xf>
    <xf numFmtId="0" fontId="1" fillId="9" borderId="1" xfId="0" applyFill="true" applyBorder="true" quotePrefix="false" applyNumberFormat="false" applyFont="true">
      <alignment vertical="center" wrapText="false"/>
    </xf>
    <xf numFmtId="0" fontId="1" fillId="11" borderId="1" xfId="0" applyFill="true" applyBorder="true" quotePrefix="false" applyNumberFormat="false" applyFont="true">
      <alignment vertical="center" wrapText="false"/>
    </xf>
    <xf numFmtId="0" fontId="1" fillId="0" borderId="1" xfId="0" applyBorder="true" quotePrefix="false" applyNumberFormat="false" applyFont="true">
      <alignment horizontal="center" vertical="center" wrapText="false"/>
    </xf>
    <xf numFmtId="0" fontId="1" fillId="0" borderId="1" xfId="0" applyBorder="true" quotePrefix="false" applyNumberFormat="false" applyFont="true">
      <alignment horizontal="center" vertical="center" wrapText="true"/>
    </xf>
    <xf numFmtId="0" fontId="1" fillId="0" borderId="1" xfId="0" applyBorder="true" quotePrefix="false" applyNumberFormat="false" applyFont="true">
      <alignment horizontal="center" vertical="center" wrapText="false"/>
    </xf>
    <xf numFmtId="0" fontId="1" fillId="0" borderId="5" xfId="0" applyBorder="true" quotePrefix="false" applyNumberFormat="false" applyFont="true">
      <alignment horizontal="center" vertical="center" wrapText="false"/>
    </xf>
    <xf numFmtId="0" fontId="1" fillId="0" borderId="3" xfId="0" applyBorder="true" quotePrefix="false" applyNumberFormat="false" applyFont="true">
      <alignment horizontal="center" vertical="center" wrapText="true"/>
    </xf>
    <xf numFmtId="0" fontId="1" fillId="0" borderId="7" xfId="0" applyBorder="true" quotePrefix="false" applyNumberFormat="false" applyFont="true">
      <alignment horizontal="center" vertical="center" wrapText="true"/>
    </xf>
    <xf numFmtId="0" fontId="1" fillId="0" borderId="11" xfId="0" applyBorder="true" quotePrefix="false" applyNumberFormat="false" applyFont="true">
      <alignment horizontal="center" vertical="center" wrapText="false"/>
    </xf>
    <xf numFmtId="0" fontId="1" fillId="0" borderId="9" xfId="0" applyBorder="true" quotePrefix="false" applyNumberFormat="false" applyFont="true">
      <alignment horizontal="center" vertical="center" wrapText="true"/>
    </xf>
    <xf numFmtId="0" fontId="1" fillId="0" borderId="13" xfId="0" applyBorder="true" quotePrefix="false" applyNumberFormat="false" applyFont="true">
      <alignment horizontal="center" vertical="center" wrapText="true"/>
    </xf>
    <xf numFmtId="165" fontId="1" fillId="0" borderId="1" xfId="0" applyBorder="true" quotePrefix="false" applyNumberFormat="true" applyFont="true">
      <alignment horizontal="center" vertical="center" wrapText="false"/>
    </xf>
    <xf numFmtId="0" fontId="1" fillId="3" borderId="1" xfId="0" applyFill="true" applyBorder="true" quotePrefix="false" applyNumberFormat="false" applyFont="true">
      <alignment horizontal="center" vertical="center" wrapText="true"/>
    </xf>
    <xf numFmtId="0" fontId="1" fillId="5" borderId="1" xfId="0" applyFill="true" applyBorder="true" quotePrefix="false" applyNumberFormat="false" applyFont="true">
      <alignment horizontal="center" vertical="center" wrapText="true"/>
    </xf>
    <xf numFmtId="0" fontId="2" fillId="0" borderId="1" xfId="0" applyBorder="true" quotePrefix="false" applyNumberFormat="false" applyFont="true">
      <alignment horizontal="center" vertical="center" wrapText="false"/>
    </xf>
    <xf numFmtId="0" fontId="2" fillId="0" borderId="1" xfId="0" applyBorder="true" quotePrefix="false" applyNumberFormat="false" applyFont="true">
      <alignment horizontal="center" vertical="center" wrapText="true"/>
    </xf>
    <xf numFmtId="0" fontId="1" fillId="0" borderId="1" xfId="0" applyBorder="true" quotePrefix="false" applyNumberFormat="false" applyFont="true">
      <alignment horizontal="center" vertical="center" wrapText="true"/>
    </xf>
    <xf numFmtId="165" fontId="1" fillId="0" borderId="1" xfId="0" applyBorder="true" quotePrefix="false" applyNumberFormat="true" applyFont="true">
      <alignment horizontal="center" vertical="center" wrapText="false"/>
    </xf>
    <xf numFmtId="0" fontId="1" fillId="5" borderId="1" xfId="0" applyFill="true" applyBorder="true" quotePrefix="false" applyNumberFormat="false" applyFont="true">
      <alignment horizontal="center" vertical="center" wrapText="true"/>
    </xf>
    <xf numFmtId="0" fontId="1" fillId="13" borderId="1" xfId="0" applyFill="true" applyBorder="true" quotePrefix="false" applyNumberFormat="false" applyFont="true">
      <alignment horizontal="center" vertical="center" wrapText="true"/>
    </xf>
    <xf numFmtId="0" fontId="1" fillId="5" borderId="1" xfId="0" applyFill="true" applyBorder="true" quotePrefix="false" applyNumberFormat="false" applyFont="true">
      <alignment horizontal="center" vertical="center" wrapText="false"/>
    </xf>
    <xf numFmtId="0" fontId="1" fillId="3" borderId="1" xfId="0" applyFill="true" applyBorder="true" quotePrefix="false" applyNumberFormat="false" applyFont="true">
      <alignment horizontal="center" vertical="center" wrapText="true"/>
    </xf>
    <xf numFmtId="0" fontId="1" fillId="3" borderId="1" xfId="0" applyFill="true" applyBorder="true" quotePrefix="false" applyNumberFormat="false" applyFont="true">
      <alignment horizontal="center" vertical="center" wrapText="false"/>
    </xf>
    <xf numFmtId="0" fontId="3" fillId="0" borderId="1" xfId="0" applyBorder="true" quotePrefix="false" applyNumberFormat="false" applyFont="true">
      <alignment horizontal="center" vertical="center" wrapText="true"/>
    </xf>
    <xf numFmtId="0" fontId="4" fillId="0" borderId="1" xfId="0" applyBorder="true" quotePrefix="false" applyNumberFormat="false" applyFont="true">
      <alignment horizontal="center" vertical="center" wrapText="true"/>
    </xf>
    <xf numFmtId="165" fontId="1" fillId="0" borderId="1" xfId="0" applyBorder="true" quotePrefix="false" applyNumberFormat="true" applyFont="true">
      <alignment horizontal="center" vertical="center" wrapText="false"/>
    </xf>
    <xf numFmtId="0" fontId="1" fillId="15" borderId="1" xfId="0" applyFill="true" applyBorder="true" quotePrefix="false" applyNumberFormat="false" applyFont="true">
      <alignment horizontal="center" vertical="center" wrapText="false"/>
    </xf>
    <xf numFmtId="0" fontId="4" fillId="0" borderId="1" xfId="0" applyBorder="true" quotePrefix="false" applyNumberFormat="false" applyFont="true">
      <alignment horizontal="center" vertical="center" wrapText="true"/>
    </xf>
    <xf numFmtId="0" fontId="1" fillId="3" borderId="1" xfId="0" applyFill="true" applyBorder="true" quotePrefix="false" applyNumberFormat="false" applyFont="true">
      <alignment horizontal="center" vertical="center" wrapText="false"/>
    </xf>
    <xf numFmtId="0" fontId="1" fillId="0" borderId="3" xfId="0" applyBorder="true" quotePrefix="false" applyNumberFormat="false" applyFont="true">
      <alignment horizontal="center" vertical="center" wrapText="false"/>
    </xf>
    <xf numFmtId="0" fontId="1" fillId="0" borderId="3" xfId="0" applyBorder="true" quotePrefix="false" applyNumberFormat="false" applyFont="true">
      <alignment horizontal="center" vertical="center" wrapText="false"/>
    </xf>
    <xf numFmtId="0" fontId="1" fillId="0" borderId="9" xfId="0" applyBorder="true" quotePrefix="false" applyNumberFormat="false" applyFont="true">
      <alignment horizontal="center" vertical="center" wrapText="false"/>
    </xf>
    <xf numFmtId="0" fontId="1" fillId="0" borderId="9" xfId="0" applyBorder="true" quotePrefix="false" applyNumberFormat="false" applyFont="true">
      <alignment horizontal="center" vertical="center" wrapText="true"/>
    </xf>
    <xf numFmtId="0" fontId="1" fillId="5" borderId="1" xfId="0" applyFill="true" applyBorder="true" quotePrefix="false" applyNumberFormat="false" applyFont="true">
      <alignment horizontal="center" vertical="center" wrapText="false"/>
    </xf>
    <xf numFmtId="0" fontId="1" fillId="9" borderId="1" xfId="0" applyFill="true" applyBorder="true" quotePrefix="false" applyNumberFormat="false" applyFont="true">
      <alignment horizontal="center" vertical="center" wrapText="false"/>
    </xf>
    <xf numFmtId="0" fontId="1" fillId="17" borderId="1" xfId="0" applyFill="true" applyBorder="true" quotePrefix="false" applyNumberFormat="false" applyFont="true">
      <alignment horizontal="center" vertical="center" wrapText="false"/>
    </xf>
    <xf numFmtId="0" fontId="1" fillId="19" borderId="1" xfId="0" applyFill="true" applyBorder="true" quotePrefix="false" applyNumberFormat="false" applyFont="true">
      <alignment horizontal="center" vertical="center" wrapText="false"/>
    </xf>
    <xf numFmtId="0" fontId="1" fillId="7" borderId="1" xfId="0" applyFill="true" applyBorder="true" quotePrefix="false" applyNumberFormat="false" applyFont="true">
      <alignment horizontal="center" vertical="center" wrapText="false"/>
    </xf>
    <xf numFmtId="0" fontId="1" fillId="0" borderId="1" xfId="0" applyBorder="true" quotePrefix="false" applyNumberFormat="true" applyFont="true">
      <alignment horizontal="center" vertical="center" wrapText="true"/>
    </xf>
    <xf numFmtId="0" fontId="1" fillId="15" borderId="1" xfId="0" applyFill="true" applyBorder="true" quotePrefix="false" applyNumberFormat="false" applyFont="true">
      <alignment vertical="center" wrapText="false"/>
    </xf>
    <xf numFmtId="0" fontId="1" fillId="0" borderId="1" xfId="0" applyBorder="true" quotePrefix="false" applyNumberFormat="true" applyFont="true">
      <alignment horizontal="center" vertical="center" wrapText="false"/>
    </xf>
    <xf numFmtId="0" fontId="1" fillId="21" borderId="1" xfId="0" applyFill="true" applyBorder="true" quotePrefix="false" applyNumberFormat="false" applyFont="true">
      <alignment vertical="center" wrapText="false"/>
    </xf>
    <xf numFmtId="0" fontId="1" fillId="17" borderId="1" xfId="0" applyFill="true" applyBorder="true" quotePrefix="false" applyNumberFormat="false" applyFont="true">
      <alignment vertical="center" wrapText="false"/>
    </xf>
    <xf numFmtId="166" fontId="1" fillId="0" borderId="1" xfId="0" applyBorder="true" quotePrefix="false" applyNumberFormat="true" applyFont="true">
      <alignment horizontal="center" vertical="center" wrapText="true"/>
    </xf>
    <xf numFmtId="166" fontId="1" fillId="0" borderId="1" xfId="0" applyBorder="true" quotePrefix="false" applyNumberFormat="true" applyFont="true">
      <alignment vertical="center" wrapText="false"/>
    </xf>
    <xf numFmtId="166" fontId="1" fillId="0" borderId="1" xfId="0" applyBorder="true" quotePrefix="false" applyNumberFormat="true" applyFont="true">
      <alignment vertical="center" wrapText="true"/>
    </xf>
    <xf numFmtId="166" fontId="1" fillId="0" borderId="1" xfId="0" applyBorder="true" quotePrefix="false" applyNumberFormat="true" applyFont="true">
      <alignment horizontal="center" vertical="center" wrapText="true"/>
    </xf>
    <xf numFmtId="166" fontId="1" fillId="0" borderId="1" xfId="0" applyBorder="true" quotePrefix="false" applyNumberFormat="true" applyFont="true">
      <alignment vertical="center" wrapText="true"/>
    </xf>
    <xf numFmtId="166" fontId="1" fillId="0" borderId="1" xfId="0" applyBorder="true" quotePrefix="false" applyNumberFormat="true" applyFont="true">
      <alignment vertical="center" wrapText="false"/>
    </xf>
    <xf numFmtId="166" fontId="1" fillId="5" borderId="1" xfId="0" applyFill="true" applyBorder="true" quotePrefix="false" applyNumberFormat="true" applyFont="true">
      <alignment vertical="center" wrapText="false"/>
    </xf>
    <xf numFmtId="167" fontId="1" fillId="0" borderId="1" xfId="0" applyBorder="true" quotePrefix="false" applyNumberFormat="true" applyFont="true">
      <alignment vertical="center" wrapText="true"/>
    </xf>
    <xf numFmtId="167" fontId="1" fillId="5" borderId="1" xfId="0" applyFill="true" applyBorder="true" quotePrefix="false" applyNumberFormat="true" applyFont="true">
      <alignment vertical="center" wrapText="false"/>
    </xf>
    <xf numFmtId="0" fontId="1" fillId="0" borderId="3" xfId="0" applyBorder="true" quotePrefix="false" applyNumberFormat="false" applyFont="true">
      <alignment vertical="center" wrapText="true"/>
    </xf>
    <xf numFmtId="166" fontId="1" fillId="0" borderId="7" xfId="0" applyBorder="true" quotePrefix="false" applyNumberFormat="true" applyFont="true">
      <alignment horizontal="center" vertical="center" wrapText="true"/>
    </xf>
    <xf numFmtId="166" fontId="1" fillId="3" borderId="1" xfId="0" applyFill="true" applyBorder="true" quotePrefix="false" applyNumberFormat="true" applyFont="true">
      <alignment horizontal="center" vertical="center" wrapText="true"/>
    </xf>
    <xf numFmtId="0" fontId="1" fillId="0" borderId="1" xfId="0" applyBorder="true" quotePrefix="false" applyNumberFormat="true" applyFont="true">
      <alignment horizontal="center" vertical="center" wrapText="true"/>
    </xf>
    <xf numFmtId="166" fontId="1" fillId="3" borderId="1" xfId="0" applyFill="true" applyBorder="true" quotePrefix="false" applyNumberFormat="true" applyFont="true">
      <alignment vertical="center" wrapText="true"/>
    </xf>
    <xf numFmtId="167" fontId="1" fillId="7" borderId="1" xfId="0" applyFill="true" applyBorder="true" quotePrefix="false" applyNumberFormat="true" applyFont="true">
      <alignment vertical="center" wrapText="true"/>
    </xf>
    <xf numFmtId="166" fontId="1" fillId="7" borderId="1" xfId="0" applyFill="true" applyBorder="true" quotePrefix="false" applyNumberFormat="true" applyFont="true">
      <alignment vertical="center" wrapText="true"/>
    </xf>
    <xf numFmtId="166" fontId="1" fillId="19" borderId="1" xfId="0" applyFill="true" applyBorder="true" quotePrefix="false" applyNumberFormat="true" applyFont="true">
      <alignment vertical="center" wrapText="true"/>
    </xf>
    <xf numFmtId="0" fontId="1" fillId="19" borderId="1" xfId="0" applyFill="true" applyBorder="true" quotePrefix="false" applyNumberFormat="false" applyFont="true">
      <alignment horizontal="center" vertical="center" wrapText="true"/>
    </xf>
    <xf numFmtId="0" fontId="1" fillId="21" borderId="1" xfId="0" applyFill="true" applyBorder="true" quotePrefix="false" applyNumberFormat="false" applyFont="true">
      <alignment vertical="center" wrapText="true"/>
    </xf>
    <xf numFmtId="166" fontId="1" fillId="5" borderId="1" xfId="0" applyFill="true" applyBorder="true" quotePrefix="false" applyNumberFormat="true" applyFont="true">
      <alignment horizontal="center" vertical="center" wrapText="true"/>
    </xf>
    <xf numFmtId="167" fontId="1" fillId="3" borderId="1" xfId="0" applyFill="true" applyBorder="true" quotePrefix="false" applyNumberFormat="true" applyFont="true">
      <alignment horizontal="center" vertical="center" wrapText="true"/>
    </xf>
    <xf numFmtId="166" fontId="1" fillId="5" borderId="1" xfId="0" applyFill="true" applyBorder="true" quotePrefix="false" applyNumberFormat="true" applyFont="true">
      <alignment vertical="center" wrapText="true"/>
    </xf>
    <xf numFmtId="166" fontId="7" fillId="23" borderId="1" xfId="0" applyFill="true" applyBorder="true" quotePrefix="false" applyNumberFormat="true" applyFont="true">
      <alignment horizontal="center" vertical="center" wrapText="true"/>
    </xf>
    <xf numFmtId="0" fontId="1" fillId="25" borderId="1" xfId="0" applyFill="true" applyBorder="true" quotePrefix="false" applyNumberFormat="false" applyFont="true">
      <alignment vertical="center" wrapText="true"/>
    </xf>
    <xf numFmtId="166" fontId="1" fillId="19" borderId="1" xfId="0" applyFill="true" applyBorder="true" quotePrefix="false" applyNumberFormat="true" applyFont="true">
      <alignment horizontal="center" vertical="center" wrapText="false"/>
    </xf>
    <xf numFmtId="166" fontId="1" fillId="7" borderId="1" xfId="0" applyFill="true" applyBorder="true" quotePrefix="false" applyNumberFormat="true" applyFont="true">
      <alignment horizontal="center" vertical="center" wrapText="false"/>
    </xf>
    <xf numFmtId="166" fontId="1" fillId="23" borderId="1" xfId="0" applyFill="true" applyBorder="true" quotePrefix="false" applyNumberFormat="true" applyFont="true">
      <alignment horizontal="center" vertical="center" wrapText="true"/>
    </xf>
    <xf numFmtId="166" fontId="1" fillId="5" borderId="1" xfId="0" applyFill="true" applyBorder="true" quotePrefix="false" applyNumberFormat="true" applyFont="true">
      <alignment vertical="center" wrapText="true"/>
    </xf>
    <xf numFmtId="167" fontId="1" fillId="5" borderId="1" xfId="0" applyFill="true" applyBorder="true" quotePrefix="false" applyNumberFormat="true" applyFont="true">
      <alignment vertical="center" wrapText="true"/>
    </xf>
    <xf numFmtId="167" fontId="1" fillId="3" borderId="1" xfId="0" applyFill="true" applyBorder="true" quotePrefix="false" applyNumberFormat="true" applyFont="true">
      <alignment vertical="center" wrapText="true"/>
    </xf>
    <xf numFmtId="166" fontId="7" fillId="23" borderId="1" xfId="0" applyFill="true" applyBorder="true" quotePrefix="false" applyNumberFormat="true" applyFont="true">
      <alignment vertical="center" wrapText="true"/>
    </xf>
    <xf numFmtId="166" fontId="1" fillId="27" borderId="1" xfId="0" applyFill="true" applyBorder="true" quotePrefix="false" applyNumberFormat="true" applyFont="true">
      <alignment vertical="center" wrapText="true"/>
    </xf>
    <xf numFmtId="166" fontId="1" fillId="25" borderId="1" xfId="0" applyFill="true" applyBorder="true" quotePrefix="false" applyNumberFormat="true" applyFont="true">
      <alignment horizontal="center" vertical="center" wrapText="true"/>
    </xf>
    <xf numFmtId="166" fontId="1" fillId="23" borderId="1" xfId="0" applyFill="true" applyBorder="true" quotePrefix="false" applyNumberFormat="true" applyFont="true">
      <alignment vertical="center" wrapText="true"/>
    </xf>
    <xf numFmtId="166" fontId="1" fillId="3" borderId="1" xfId="0" applyFill="true" applyBorder="true" quotePrefix="false" applyNumberFormat="true" applyFont="true">
      <alignment vertical="center" wrapText="true"/>
    </xf>
    <xf numFmtId="166" fontId="1" fillId="21" borderId="1" xfId="0" applyFill="true" applyBorder="true" quotePrefix="false" applyNumberFormat="true" applyFont="true">
      <alignment horizontal="center" vertical="center" wrapText="true"/>
    </xf>
    <xf numFmtId="0" fontId="1" fillId="17" borderId="1" xfId="0" applyFill="true" applyBorder="true" quotePrefix="false" applyNumberFormat="false" applyFont="true">
      <alignment vertical="center" wrapText="true"/>
    </xf>
    <xf numFmtId="166" fontId="1" fillId="17" borderId="1" xfId="0" applyFill="true" applyBorder="true" quotePrefix="false" applyNumberFormat="true" applyFont="true">
      <alignment vertical="center" wrapText="true"/>
    </xf>
    <xf numFmtId="166" fontId="1" fillId="9" borderId="1" xfId="0" applyFill="true" applyBorder="true" quotePrefix="false" applyNumberFormat="true" applyFont="true">
      <alignment vertical="center" wrapText="true"/>
    </xf>
    <xf numFmtId="0" fontId="1" fillId="25" borderId="1" xfId="0" applyFill="true" applyBorder="true" quotePrefix="false" applyNumberFormat="false" applyFont="true">
      <alignment horizontal="center" vertical="center" wrapText="true"/>
    </xf>
    <xf numFmtId="166" fontId="1" fillId="3" borderId="1" xfId="0" applyFill="true" applyBorder="true" quotePrefix="false" applyNumberFormat="true" applyFont="true">
      <alignment vertical="center" wrapText="false"/>
    </xf>
    <xf numFmtId="166" fontId="1" fillId="9" borderId="1" xfId="0" applyFill="true" applyBorder="true" quotePrefix="false" applyNumberFormat="true" applyFont="true">
      <alignment vertical="center" wrapText="false"/>
    </xf>
    <xf numFmtId="166" fontId="1" fillId="7" borderId="1" xfId="0" applyFill="true" applyBorder="true" quotePrefix="false" applyNumberFormat="true" applyFont="true">
      <alignment vertical="center" wrapText="false"/>
    </xf>
    <xf numFmtId="0" fontId="1" fillId="25" borderId="1" xfId="0" applyFill="true" applyBorder="true" quotePrefix="false" applyNumberFormat="false" applyFont="true">
      <alignment horizontal="center" vertical="center" wrapText="false"/>
    </xf>
    <xf numFmtId="166" fontId="1" fillId="21" borderId="1" xfId="0" applyFill="true" applyBorder="true" quotePrefix="false" applyNumberFormat="true" applyFont="true">
      <alignment vertical="center" wrapText="false"/>
    </xf>
    <xf numFmtId="166" fontId="1" fillId="17" borderId="1" xfId="0" applyFill="true" applyBorder="true" quotePrefix="false" applyNumberFormat="true" applyFont="true">
      <alignment vertical="center" wrapText="false"/>
    </xf>
    <xf numFmtId="166" fontId="1" fillId="19" borderId="1" xfId="0" applyFill="true" applyBorder="true" quotePrefix="false" applyNumberFormat="true" applyFont="true">
      <alignment vertical="center" wrapText="false"/>
    </xf>
    <xf numFmtId="167" fontId="1" fillId="9" borderId="1" xfId="0" applyFill="true" applyBorder="true" quotePrefix="false" applyNumberFormat="true" applyFont="true">
      <alignment vertical="center" wrapText="false"/>
    </xf>
    <xf numFmtId="166" fontId="1" fillId="23" borderId="1" xfId="0" applyFill="true" applyBorder="true" quotePrefix="false" applyNumberFormat="true" applyFont="true">
      <alignment vertical="center" wrapText="false"/>
    </xf>
    <xf numFmtId="0" fontId="1" fillId="25" borderId="1" xfId="0" applyFill="true" applyBorder="true" quotePrefix="false" applyNumberFormat="false" applyFont="true">
      <alignment vertical="center" wrapText="false"/>
    </xf>
    <xf numFmtId="166" fontId="1" fillId="25" borderId="1" xfId="0" applyFill="true" applyBorder="true" quotePrefix="false" applyNumberFormat="true" applyFont="true">
      <alignment vertical="center" wrapText="false"/>
    </xf>
    <xf numFmtId="166" fontId="1" fillId="25" borderId="1" xfId="0" applyFill="true" applyBorder="true" quotePrefix="false" applyNumberFormat="true" applyFont="true">
      <alignment vertical="center" wrapText="false"/>
    </xf>
    <xf numFmtId="166" fontId="2" fillId="3" borderId="1" xfId="0" applyFill="true" applyBorder="true" quotePrefix="false" applyNumberFormat="true" applyFont="true">
      <alignment vertical="center" wrapText="false"/>
    </xf>
    <xf numFmtId="166" fontId="2" fillId="5" borderId="1" xfId="0" applyFill="true" applyBorder="true" quotePrefix="false" applyNumberFormat="true" applyFont="true">
      <alignment vertical="center" wrapText="false"/>
    </xf>
    <xf numFmtId="167" fontId="1" fillId="9" borderId="1" xfId="0" applyFill="true" applyBorder="true" quotePrefix="false" applyNumberFormat="true" applyFont="true">
      <alignment vertical="center" wrapText="true"/>
    </xf>
    <xf numFmtId="166" fontId="2" fillId="7" borderId="1" xfId="0" applyFill="true" applyBorder="true" quotePrefix="false" applyNumberFormat="true" applyFont="true">
      <alignment vertical="center" wrapText="false"/>
    </xf>
    <xf numFmtId="166" fontId="2" fillId="25" borderId="1" xfId="0" applyFill="true" applyBorder="true" quotePrefix="false" applyNumberFormat="true" applyFont="true">
      <alignment vertical="center" wrapText="false"/>
    </xf>
    <xf numFmtId="166" fontId="2" fillId="21" borderId="1" xfId="0" applyFill="true" applyBorder="true" quotePrefix="false" applyNumberFormat="true" applyFont="true">
      <alignment vertical="center" wrapText="false"/>
    </xf>
    <xf numFmtId="0" fontId="8" fillId="0" borderId="1" xfId="0" applyBorder="true" quotePrefix="false" applyNumberFormat="false" applyFont="true">
      <alignment horizontal="center" vertical="center" wrapText="true"/>
    </xf>
    <xf numFmtId="0" fontId="1" fillId="29" borderId="1" xfId="0" applyFill="true" applyBorder="true" quotePrefix="false" applyNumberFormat="false" applyFont="true">
      <alignment vertical="center" wrapText="false"/>
    </xf>
    <xf numFmtId="0" fontId="9" fillId="0" borderId="1" xfId="0" applyBorder="true" quotePrefix="false" applyNumberFormat="false" applyFont="true">
      <alignment vertical="center" wrapText="true"/>
    </xf>
    <xf numFmtId="0" fontId="3" fillId="0" borderId="1" xfId="0" applyBorder="true" quotePrefix="false" applyNumberFormat="false" applyFont="true">
      <alignment vertical="center" wrapText="true"/>
    </xf>
    <xf numFmtId="166" fontId="1" fillId="0" borderId="1" xfId="0" applyBorder="true" quotePrefix="false" applyNumberFormat="true" applyFont="true">
      <alignment vertical="center" wrapText="true"/>
    </xf>
    <xf numFmtId="166" fontId="1" fillId="3" borderId="1" xfId="0" applyFill="true" applyBorder="true" quotePrefix="false" applyNumberFormat="true" applyFont="true">
      <alignment horizontal="center" vertical="center" wrapText="true"/>
    </xf>
    <xf numFmtId="166" fontId="1" fillId="3" borderId="1" xfId="0" applyFill="true" applyBorder="true" quotePrefix="false" applyNumberFormat="true" applyFont="true">
      <alignment horizontal="center" vertical="center" wrapText="true"/>
    </xf>
    <xf numFmtId="166" fontId="1" fillId="3" borderId="1" xfId="0" applyFill="true" applyBorder="true" quotePrefix="false" applyNumberFormat="true" applyFont="true">
      <alignment vertical="center" wrapText="true"/>
    </xf>
    <xf numFmtId="0" fontId="1" fillId="3" borderId="1" xfId="0" applyFill="true" applyBorder="true" quotePrefix="false" applyNumberFormat="false" applyFont="true">
      <alignment vertical="center" wrapText="true"/>
    </xf>
    <xf numFmtId="166" fontId="1" fillId="5" borderId="1" xfId="0" applyFill="true" applyBorder="true" quotePrefix="false" applyNumberFormat="true" applyFont="true">
      <alignment horizontal="center" vertical="center" wrapText="true"/>
    </xf>
    <xf numFmtId="166" fontId="1" fillId="5" borderId="1" xfId="0" applyFill="true" applyBorder="true" quotePrefix="false" applyNumberFormat="true" applyFont="true">
      <alignment vertical="center" wrapText="true"/>
    </xf>
    <xf numFmtId="0" fontId="1" fillId="5" borderId="1" xfId="0" applyFill="true" applyBorder="true" quotePrefix="false" applyNumberFormat="false" applyFont="true">
      <alignment vertical="center" wrapText="false"/>
    </xf>
    <xf numFmtId="166" fontId="1" fillId="5" borderId="1" xfId="0" applyFill="true" applyBorder="true" quotePrefix="false" applyNumberFormat="true" applyFont="true">
      <alignment vertical="center" wrapText="false"/>
    </xf>
    <xf numFmtId="166" fontId="1" fillId="3" borderId="1" xfId="0" applyFill="true" applyBorder="true" quotePrefix="false" applyNumberFormat="true" applyFont="true">
      <alignment vertical="center" wrapText="false"/>
    </xf>
    <xf numFmtId="0" fontId="1" fillId="3" borderId="1" xfId="0" applyFill="true" applyBorder="true" quotePrefix="false" applyNumberFormat="false" applyFont="true">
      <alignment vertical="center" wrapText="false"/>
    </xf>
    <xf numFmtId="0" fontId="1" fillId="7" borderId="1" xfId="0" applyFill="true" applyBorder="true" quotePrefix="false" applyNumberFormat="false" applyFont="true">
      <alignment vertical="center" wrapText="true"/>
    </xf>
    <xf numFmtId="166" fontId="1" fillId="9" borderId="1" xfId="0" applyFill="true" applyBorder="true" quotePrefix="false" applyNumberFormat="true" applyFont="true">
      <alignment horizontal="center" vertical="center" wrapText="true"/>
    </xf>
    <xf numFmtId="0" fontId="1" fillId="5" borderId="1" xfId="0" applyFill="true" applyBorder="true" quotePrefix="false" applyNumberFormat="false" applyFont="true">
      <alignment vertical="center" wrapText="true"/>
    </xf>
    <xf numFmtId="166" fontId="1" fillId="3" borderId="1" xfId="0" applyFill="true" applyBorder="true" quotePrefix="false" applyNumberFormat="true" applyFont="true">
      <alignment vertical="center" wrapText="true"/>
    </xf>
    <xf numFmtId="0" fontId="1" fillId="19" borderId="1" xfId="0" applyFill="true" applyBorder="true" quotePrefix="false" applyNumberFormat="false" applyFont="true">
      <alignment vertical="center" wrapText="true"/>
    </xf>
    <xf numFmtId="166" fontId="1" fillId="5" borderId="1" xfId="0" applyFill="true" applyBorder="true" quotePrefix="false" applyNumberFormat="true" applyFont="true">
      <alignment vertical="center" wrapText="false"/>
    </xf>
    <xf numFmtId="166" fontId="6" fillId="3" borderId="1" xfId="0" applyFill="true" applyBorder="true" quotePrefix="false" applyNumberFormat="true" applyFont="true">
      <alignment vertical="center" wrapText="true"/>
    </xf>
    <xf numFmtId="166" fontId="1" fillId="5" borderId="1" xfId="0" applyFill="true" applyBorder="true" quotePrefix="false" applyNumberFormat="true" applyFont="true">
      <alignment vertical="center" wrapText="false"/>
    </xf>
    <xf numFmtId="166" fontId="6" fillId="5" borderId="1" xfId="0" applyFill="true" applyBorder="true" quotePrefix="false" applyNumberFormat="true" applyFont="true">
      <alignment vertical="center" wrapText="true"/>
    </xf>
    <xf numFmtId="0" fontId="1" fillId="9" borderId="1" xfId="0" applyFill="true" applyBorder="true" quotePrefix="false" applyNumberFormat="false" applyFont="true">
      <alignment vertical="center" wrapText="true"/>
    </xf>
    <xf numFmtId="167" fontId="1" fillId="5" borderId="1" xfId="0" applyFill="true" applyBorder="true" quotePrefix="false" applyNumberFormat="true" applyFont="true">
      <alignment horizontal="center" vertical="center" wrapText="true"/>
    </xf>
    <xf numFmtId="0" fontId="10" fillId="0" borderId="1" xfId="0" applyBorder="true" quotePrefix="false" applyNumberFormat="false" applyFont="true">
      <alignment vertical="center" wrapText="true"/>
    </xf>
    <xf numFmtId="0" fontId="11" fillId="0" borderId="1" xfId="0" applyBorder="true" quotePrefix="false" applyNumberFormat="false" applyFont="true">
      <alignment horizontal="center" vertical="center" wrapText="true"/>
    </xf>
    <xf numFmtId="166" fontId="1" fillId="7" borderId="1" xfId="0" applyFill="true" applyBorder="true" quotePrefix="false" applyNumberFormat="true" applyFont="true">
      <alignment vertical="center" wrapText="true"/>
    </xf>
    <xf numFmtId="0" fontId="1" fillId="31" borderId="1" xfId="0" applyFill="true" applyBorder="true" quotePrefix="false" applyNumberFormat="false" applyFont="true">
      <alignment vertical="center" wrapText="true"/>
    </xf>
    <xf numFmtId="166" fontId="1" fillId="13" borderId="1" xfId="0" applyFill="true" applyBorder="true" quotePrefix="false" applyNumberFormat="true" applyFont="true">
      <alignment horizontal="center" vertical="center" wrapText="true"/>
    </xf>
    <xf numFmtId="0" fontId="1" fillId="13" borderId="1" xfId="0" applyFill="true" applyBorder="true" quotePrefix="false" applyNumberFormat="false" applyFont="true">
      <alignment vertical="center" wrapText="true"/>
    </xf>
    <xf numFmtId="166" fontId="1" fillId="0" borderId="1" xfId="0" applyBorder="true" quotePrefix="false" applyNumberFormat="true" applyFont="true">
      <alignment horizontal="center" vertical="center" wrapText="true"/>
    </xf>
    <xf numFmtId="0" fontId="1" fillId="0" borderId="5" xfId="0" applyBorder="true" quotePrefix="false" applyNumberFormat="false" applyFont="true">
      <alignment vertical="center" wrapText="false"/>
    </xf>
    <xf numFmtId="0" fontId="1" fillId="0" borderId="15" xfId="0" applyBorder="true" quotePrefix="false" applyNumberFormat="false" applyFont="true">
      <alignment vertical="center" wrapText="false"/>
    </xf>
    <xf numFmtId="0" fontId="1" fillId="0" borderId="17" xfId="0" applyBorder="true" quotePrefix="false" applyNumberFormat="false" applyFont="true">
      <alignment vertical="center" wrapText="true"/>
    </xf>
    <xf numFmtId="167" fontId="1" fillId="0" borderId="1" xfId="0" applyBorder="true" quotePrefix="false" applyNumberFormat="true" applyFont="true">
      <alignment vertical="center" wrapText="true"/>
    </xf>
    <xf numFmtId="0" fontId="1" fillId="0" borderId="17" xfId="0" applyBorder="true" quotePrefix="false" applyNumberFormat="false" applyFont="true">
      <alignment vertical="center" wrapText="false"/>
    </xf>
    <xf numFmtId="165" fontId="1" fillId="0" borderId="15" xfId="0" applyBorder="true" quotePrefix="false" applyNumberFormat="true" applyFont="true">
      <alignment vertical="center" wrapText="false"/>
    </xf>
    <xf numFmtId="166" fontId="1" fillId="3" borderId="1" xfId="0" applyFill="true" applyBorder="true" quotePrefix="false" applyNumberFormat="true" applyFont="true">
      <alignment horizontal="center" vertical="center" wrapText="true"/>
    </xf>
    <xf numFmtId="0" fontId="1" fillId="31" borderId="1" xfId="0" applyFill="true" applyBorder="true" quotePrefix="false" applyNumberFormat="false" applyFont="true">
      <alignment horizontal="center" vertical="center" wrapText="true"/>
    </xf>
    <xf numFmtId="0" fontId="1" fillId="3" borderId="1" xfId="0" applyFill="true" applyBorder="true" quotePrefix="false" applyNumberFormat="true" applyFont="true">
      <alignment horizontal="center" vertical="center" wrapText="true"/>
    </xf>
    <xf numFmtId="0" fontId="1" fillId="17" borderId="17" xfId="0" applyFill="true" applyBorder="true" quotePrefix="false" applyNumberFormat="false" applyFont="true">
      <alignment vertical="center" wrapText="true"/>
    </xf>
    <xf numFmtId="166" fontId="1" fillId="9" borderId="1" xfId="0" applyFill="true" applyBorder="true" quotePrefix="false" applyNumberFormat="true" applyFont="true">
      <alignment vertical="center" wrapText="true"/>
    </xf>
    <xf numFmtId="166" fontId="1" fillId="17" borderId="1" xfId="0" applyFill="true" applyBorder="true" quotePrefix="false" applyNumberFormat="true" applyFont="true">
      <alignment vertical="center" wrapText="true"/>
    </xf>
    <xf numFmtId="0" fontId="1" fillId="5" borderId="17" xfId="0" applyFill="true" applyBorder="true" quotePrefix="false" applyNumberFormat="false" applyFont="true">
      <alignment vertical="center" wrapText="true"/>
    </xf>
    <xf numFmtId="0" fontId="1" fillId="31" borderId="1" xfId="0" applyFill="true" applyBorder="true" quotePrefix="false" applyNumberFormat="false" applyFont="true">
      <alignment horizontal="center" vertical="center" wrapText="false"/>
    </xf>
    <xf numFmtId="165" fontId="1" fillId="0" borderId="11" xfId="0" applyBorder="true" quotePrefix="false" applyNumberFormat="true" applyFont="true">
      <alignment vertical="center" wrapText="false"/>
    </xf>
    <xf numFmtId="0" fontId="1" fillId="0" borderId="9" xfId="0" applyBorder="true" quotePrefix="false" applyNumberFormat="false" applyFont="true">
      <alignment vertical="center" wrapText="false"/>
    </xf>
    <xf numFmtId="166" fontId="1" fillId="3" borderId="9" xfId="0" applyFill="true" applyBorder="true" quotePrefix="false" applyNumberFormat="true" applyFont="true">
      <alignment horizontal="center" vertical="center" wrapText="true"/>
    </xf>
    <xf numFmtId="0" fontId="1" fillId="3" borderId="9" xfId="0" applyFill="true" applyBorder="true" quotePrefix="false" applyNumberFormat="false" applyFont="true">
      <alignment horizontal="center" vertical="center" wrapText="true"/>
    </xf>
    <xf numFmtId="167" fontId="1" fillId="3" borderId="9" xfId="0" applyFill="true" applyBorder="true" quotePrefix="false" applyNumberFormat="true" applyFont="true">
      <alignment horizontal="center" vertical="center" wrapText="true"/>
    </xf>
    <xf numFmtId="166" fontId="1" fillId="5" borderId="9" xfId="0" applyFill="true" applyBorder="true" quotePrefix="false" applyNumberFormat="true" applyFont="true">
      <alignment horizontal="center" vertical="center" wrapText="true"/>
    </xf>
    <xf numFmtId="0" fontId="1" fillId="5" borderId="9" xfId="0" applyFill="true" applyBorder="true" quotePrefix="false" applyNumberFormat="false" applyFont="true">
      <alignment horizontal="center" vertical="center" wrapText="true"/>
    </xf>
    <xf numFmtId="166" fontId="1" fillId="3" borderId="9" xfId="0" applyFill="true" applyBorder="true" quotePrefix="false" applyNumberFormat="true" applyFont="true">
      <alignment vertical="center" wrapText="true"/>
    </xf>
    <xf numFmtId="166" fontId="1" fillId="5" borderId="9" xfId="0" applyFill="true" applyBorder="true" quotePrefix="false" applyNumberFormat="true" applyFont="true">
      <alignment vertical="center" wrapText="true"/>
    </xf>
    <xf numFmtId="166" fontId="1" fillId="3" borderId="9" xfId="0" applyFill="true" applyBorder="true" quotePrefix="false" applyNumberFormat="true" applyFont="true">
      <alignment vertical="center" wrapText="true"/>
    </xf>
    <xf numFmtId="166" fontId="1" fillId="7" borderId="9" xfId="0" applyFill="true" applyBorder="true" quotePrefix="false" applyNumberFormat="true" applyFont="true">
      <alignment horizontal="center" vertical="center" wrapText="false"/>
    </xf>
    <xf numFmtId="0" fontId="1" fillId="31" borderId="9" xfId="0" applyFill="true" applyBorder="true" quotePrefix="false" applyNumberFormat="false" applyFont="true">
      <alignment horizontal="center" vertical="center" wrapText="false"/>
    </xf>
    <xf numFmtId="0" fontId="1" fillId="3" borderId="9" xfId="0" applyFill="true" applyBorder="true" quotePrefix="false" applyNumberFormat="false" applyFont="true">
      <alignment vertical="center" wrapText="true"/>
    </xf>
    <xf numFmtId="166" fontId="1" fillId="5" borderId="9" xfId="0" applyFill="true" applyBorder="true" quotePrefix="false" applyNumberFormat="true" applyFont="true">
      <alignment vertical="center" wrapText="true"/>
    </xf>
    <xf numFmtId="0" fontId="1" fillId="5" borderId="9" xfId="0" applyFill="true" applyBorder="true" quotePrefix="false" applyNumberFormat="false" applyFont="true">
      <alignment vertical="center" wrapText="true"/>
    </xf>
    <xf numFmtId="0" fontId="1" fillId="5" borderId="13" xfId="0" applyFill="true" applyBorder="true" quotePrefix="false" applyNumberFormat="false" applyFont="true">
      <alignment vertical="center" wrapText="true"/>
    </xf>
    <xf numFmtId="166" fontId="1" fillId="0" borderId="9" xfId="0" applyBorder="true" quotePrefix="false" applyNumberFormat="true" applyFont="true">
      <alignment vertical="center" wrapText="true"/>
    </xf>
    <xf numFmtId="0" fontId="3" fillId="0" borderId="1" xfId="0" applyBorder="true" quotePrefix="false" applyNumberFormat="false" applyFont="true">
      <alignment horizontal="center" vertical="center" wrapText="false"/>
    </xf>
    <xf numFmtId="0" fontId="5" fillId="0" borderId="1" xfId="0" applyBorder="true" quotePrefix="false" applyNumberFormat="false" applyFont="true">
      <alignment horizontal="center" vertical="center" wrapText="false"/>
    </xf>
    <xf numFmtId="0" fontId="1" fillId="0" borderId="1" xfId="0" applyBorder="true" quotePrefix="false" applyNumberFormat="true" applyFont="true">
      <alignment vertical="center" wrapText="true"/>
    </xf>
    <xf numFmtId="0" fontId="1" fillId="5" borderId="1" xfId="0" applyFill="true" applyBorder="true" quotePrefix="false" applyNumberFormat="true" applyFont="true">
      <alignment horizontal="center" vertical="center" wrapText="true"/>
    </xf>
    <xf numFmtId="166" fontId="1" fillId="3" borderId="1" xfId="0" applyFill="true" applyBorder="true" quotePrefix="false" applyNumberFormat="true" applyFont="true">
      <alignment horizontal="center" vertical="center" wrapText="false"/>
    </xf>
    <xf numFmtId="0" fontId="1" fillId="5" borderId="1" xfId="0" applyFill="true" applyBorder="true" quotePrefix="false" applyNumberFormat="true" applyFont="true">
      <alignment vertical="center" wrapText="true"/>
    </xf>
    <xf numFmtId="166" fontId="1" fillId="3" borderId="1" xfId="0" applyFill="true" applyBorder="true" quotePrefix="false" applyNumberFormat="true" applyFont="true">
      <alignment vertical="center" wrapText="false"/>
    </xf>
    <xf numFmtId="166" fontId="1" fillId="11" borderId="1" xfId="0" applyFill="true" applyBorder="true" quotePrefix="false" applyNumberFormat="true" applyFont="true">
      <alignment vertical="center" wrapText="false"/>
    </xf>
    <xf numFmtId="166" fontId="1" fillId="11" borderId="1" xfId="0" applyFill="true" applyBorder="true" quotePrefix="false" applyNumberFormat="true" applyFont="true">
      <alignment vertical="center" wrapText="true"/>
    </xf>
    <xf numFmtId="166" fontId="1" fillId="5" borderId="1" xfId="0" applyFill="true" applyBorder="true" quotePrefix="false" applyNumberFormat="true" applyFont="true">
      <alignment horizontal="center" vertical="center" wrapText="false"/>
    </xf>
    <xf numFmtId="166" fontId="1" fillId="0" borderId="1" xfId="0" applyBorder="true" quotePrefix="false" applyNumberFormat="true" applyFont="true">
      <alignment horizontal="center" vertical="center" wrapText="false"/>
    </xf>
    <xf numFmtId="167" fontId="1" fillId="11" borderId="1" xfId="0" applyFill="true" applyBorder="true" quotePrefix="false" applyNumberFormat="true" applyFont="true">
      <alignment vertical="center" wrapText="true"/>
    </xf>
    <xf numFmtId="0" fontId="1" fillId="0" borderId="1" xfId="0" applyBorder="true" quotePrefix="false" applyNumberFormat="true" applyFont="true">
      <alignment horizontal="center" vertical="center" wrapText="false"/>
    </xf>
    <xf numFmtId="166" fontId="1" fillId="5" borderId="1" xfId="0" applyFill="true" applyBorder="true" quotePrefix="false" applyNumberFormat="true" applyFont="true">
      <alignment horizontal="center" vertical="center" wrapText="true"/>
    </xf>
    <xf numFmtId="167" fontId="1" fillId="11" borderId="1" xfId="0" applyFill="true" applyBorder="true" quotePrefix="false" applyNumberFormat="true" applyFont="true">
      <alignment vertical="center" wrapText="false"/>
    </xf>
    <xf numFmtId="166" fontId="1" fillId="11" borderId="1" xfId="0" applyFill="true" applyBorder="true" quotePrefix="false" applyNumberFormat="true" applyFont="true">
      <alignment vertical="center" wrapText="false"/>
    </xf>
    <xf numFmtId="167" fontId="1" fillId="11" borderId="1" xfId="0" applyFill="true" applyBorder="true" quotePrefix="false" applyNumberFormat="true" applyFont="true">
      <alignment vertical="center" wrapText="false"/>
    </xf>
    <xf numFmtId="167" fontId="1" fillId="11" borderId="1" xfId="0" applyFill="true" applyBorder="true" quotePrefix="false" applyNumberFormat="true" applyFont="true">
      <alignment vertical="center" wrapText="true"/>
    </xf>
    <xf numFmtId="166" fontId="1" fillId="0" borderId="1" xfId="0" applyBorder="true" quotePrefix="false" applyNumberFormat="true" applyFont="true">
      <alignment horizontal="center" vertical="center" wrapText="false"/>
    </xf>
    <xf numFmtId="166" fontId="1" fillId="5" borderId="1" xfId="0" applyFill="true" applyBorder="true" quotePrefix="false" applyNumberFormat="true" applyFont="true">
      <alignment vertical="center" wrapText="true"/>
    </xf>
    <xf numFmtId="167" fontId="1" fillId="0" borderId="1" xfId="0" applyBorder="true" quotePrefix="false" applyNumberFormat="true" applyFont="true">
      <alignment horizontal="center" vertical="center" wrapText="false"/>
    </xf>
    <xf numFmtId="166" fontId="1" fillId="11" borderId="1" xfId="0" applyFill="true" applyBorder="true" quotePrefix="false" applyNumberFormat="true" applyFont="true">
      <alignment vertical="center" wrapText="true"/>
    </xf>
    <xf numFmtId="165" fontId="1" fillId="0" borderId="1" xfId="0" applyBorder="true" quotePrefix="false" applyNumberFormat="true" applyFont="true">
      <alignment vertical="center" wrapText="true"/>
    </xf>
    <xf numFmtId="0" fontId="1" fillId="0" borderId="5" xfId="0" applyBorder="true" quotePrefix="false" applyNumberFormat="false" applyFont="true">
      <alignment vertical="center" wrapText="true"/>
    </xf>
    <xf numFmtId="165" fontId="1" fillId="0" borderId="15" xfId="0" applyBorder="true" quotePrefix="false" applyNumberFormat="true" applyFont="true">
      <alignment vertical="center" wrapText="true"/>
    </xf>
    <xf numFmtId="0" fontId="1" fillId="0" borderId="15" xfId="0" applyBorder="true" quotePrefix="false" applyNumberFormat="false" applyFont="true">
      <alignment vertical="center" wrapText="true"/>
    </xf>
    <xf numFmtId="0" fontId="1" fillId="0" borderId="17" xfId="0" applyBorder="true" quotePrefix="false" applyNumberFormat="false" applyFont="true">
      <alignment vertical="center" wrapText="true"/>
    </xf>
    <xf numFmtId="0" fontId="1" fillId="0" borderId="15" xfId="0" applyBorder="true" quotePrefix="false" applyNumberFormat="false" applyFont="true">
      <alignment vertical="center" wrapText="true"/>
    </xf>
    <xf numFmtId="0" fontId="1" fillId="0" borderId="11" xfId="0" applyBorder="true" quotePrefix="false" applyNumberFormat="false" applyFont="true">
      <alignment vertical="center" wrapText="true"/>
    </xf>
    <xf numFmtId="0" fontId="12" fillId="0" borderId="1" xfId="0" applyBorder="true" quotePrefix="false" applyNumberFormat="false" applyFont="true">
      <alignment vertical="center" wrapText="true"/>
    </xf>
    <xf numFmtId="165" fontId="1" fillId="0" borderId="1" xfId="0" applyBorder="true" quotePrefix="false" applyNumberFormat="true" applyFont="true">
      <alignment vertical="center" wrapText="true"/>
    </xf>
    <xf numFmtId="0" fontId="1" fillId="9" borderId="1" xfId="0" applyFill="true" applyBorder="true" quotePrefix="false" applyNumberFormat="false" applyFont="true">
      <alignment vertical="center" wrapText="true"/>
    </xf>
    <xf numFmtId="0" fontId="1" fillId="27" borderId="1" xfId="0" applyFill="true" applyBorder="true" quotePrefix="false" applyNumberFormat="false" applyFont="true">
      <alignment vertical="center" wrapText="true"/>
    </xf>
    <xf numFmtId="0" fontId="3" fillId="0" borderId="1" xfId="0" applyBorder="true" quotePrefix="false" applyNumberFormat="true" applyFont="true">
      <alignment horizontal="center" vertical="center" wrapText="true"/>
    </xf>
    <xf numFmtId="0" fontId="3" fillId="0" borderId="1" xfId="0" applyBorder="true" quotePrefix="false" applyNumberFormat="false" applyFont="true">
      <alignment horizontal="center" vertical="center" wrapText="true"/>
    </xf>
    <xf numFmtId="0" fontId="9" fillId="0" borderId="1" xfId="0" applyBorder="true" quotePrefix="false" applyNumberFormat="false" applyFont="true">
      <alignment horizontal="center" vertical="center" wrapText="true"/>
    </xf>
    <xf numFmtId="0" fontId="9" fillId="0" borderId="1" xfId="0" applyBorder="true" quotePrefix="false" applyNumberFormat="false" applyFont="true">
      <alignment horizontal="center" vertical="center" wrapText="true"/>
    </xf>
    <xf numFmtId="0" fontId="5" fillId="0" borderId="1" xfId="0" applyBorder="true" quotePrefix="false" applyNumberFormat="false" applyFont="true">
      <alignment horizontal="center" vertical="center" wrapText="true"/>
    </xf>
    <xf numFmtId="0" fontId="5" fillId="0" borderId="1" xfId="0" applyBorder="true" quotePrefix="false" applyNumberFormat="false" applyFont="true">
      <alignment horizontal="center" vertical="center" wrapText="true"/>
    </xf>
    <xf numFmtId="0" fontId="1" fillId="0" borderId="17" xfId="0" applyBorder="true" quotePrefix="false" applyNumberFormat="false" applyFont="true">
      <alignment horizontal="center" vertical="center" wrapText="true"/>
    </xf>
    <xf numFmtId="165" fontId="1" fillId="0" borderId="15" xfId="0" applyBorder="true" quotePrefix="false" applyNumberFormat="true" applyFont="true">
      <alignment vertical="center" wrapText="true"/>
    </xf>
    <xf numFmtId="0" fontId="1" fillId="3" borderId="17" xfId="0" applyFill="true" applyBorder="true" quotePrefix="false" applyNumberFormat="false" applyFont="true">
      <alignment vertical="center" wrapText="true"/>
    </xf>
    <xf numFmtId="165" fontId="1" fillId="0" borderId="11" xfId="0" applyBorder="true" quotePrefix="false" applyNumberFormat="true" applyFont="true">
      <alignment vertical="center" wrapText="true"/>
    </xf>
    <xf numFmtId="0" fontId="1" fillId="3" borderId="13" xfId="0" applyFill="true" applyBorder="true" quotePrefix="false" applyNumberFormat="false" applyFont="true">
      <alignment vertical="center" wrapText="true"/>
    </xf>
    <xf numFmtId="0" fontId="9" fillId="0" borderId="1" xfId="0" applyBorder="true" quotePrefix="false" applyNumberFormat="false" applyFont="true">
      <alignment vertical="center" wrapText="true"/>
    </xf>
    <xf numFmtId="0" fontId="7" fillId="33" borderId="1" xfId="0" applyFill="true" applyBorder="true" quotePrefix="false" applyNumberFormat="false" applyFont="true">
      <alignment horizontal="center" vertical="center" wrapText="true"/>
    </xf>
    <xf numFmtId="0" fontId="7" fillId="7" borderId="1" xfId="0" applyFill="true" applyBorder="true" quotePrefix="false" applyNumberFormat="false" applyFont="true">
      <alignment horizontal="center" vertical="center" wrapText="true"/>
    </xf>
    <xf numFmtId="0" fontId="1" fillId="7" borderId="1" xfId="0" applyFill="true" applyBorder="true" quotePrefix="false" applyNumberFormat="false" applyFont="true">
      <alignment horizontal="center" vertical="center" wrapText="true"/>
    </xf>
    <xf numFmtId="0" fontId="1" fillId="33" borderId="1" xfId="0" applyFill="true" applyBorder="true" quotePrefix="false" applyNumberFormat="false" applyFont="true">
      <alignment horizontal="center" vertical="center" wrapText="true"/>
    </xf>
    <xf numFmtId="0" fontId="7" fillId="0" borderId="1" xfId="0" applyBorder="true" quotePrefix="false" applyNumberFormat="false" applyFont="true">
      <alignment horizontal="center" vertical="center" wrapText="true"/>
    </xf>
    <xf numFmtId="0" fontId="1" fillId="17" borderId="1" xfId="0" applyFill="true" applyBorder="true" quotePrefix="false" applyNumberFormat="false" applyFont="true">
      <alignment horizontal="center" vertical="center" wrapText="true"/>
    </xf>
    <xf numFmtId="0" fontId="1" fillId="29" borderId="1" xfId="0" applyFill="true" applyBorder="true" quotePrefix="false" applyNumberFormat="false" applyFont="true">
      <alignment horizontal="center" vertical="center" wrapText="true"/>
    </xf>
    <xf numFmtId="0" fontId="13" fillId="0" borderId="1" xfId="0" applyBorder="true" quotePrefix="false" applyNumberFormat="false" applyFont="true">
      <alignment horizontal="center" vertical="center" wrapText="true"/>
    </xf>
    <xf numFmtId="0" fontId="13" fillId="0" borderId="1" xfId="0" applyBorder="true" quotePrefix="false" applyNumberFormat="false" applyFont="true">
      <alignment vertical="center" wrapText="true"/>
    </xf>
    <xf numFmtId="165" fontId="1" fillId="0" borderId="5" xfId="0" applyBorder="true" quotePrefix="false" applyNumberFormat="true" applyFont="true">
      <alignment vertical="center" wrapText="true"/>
    </xf>
    <xf numFmtId="165" fontId="1" fillId="0" borderId="15" xfId="0" applyBorder="true" quotePrefix="false" applyNumberFormat="true" applyFont="true">
      <alignment horizontal="center" vertical="center" wrapText="false"/>
    </xf>
    <xf numFmtId="165" fontId="1" fillId="0" borderId="17" xfId="0" applyBorder="true" quotePrefix="false" applyNumberFormat="true" applyFont="true">
      <alignment horizontal="center" vertical="center" wrapText="false"/>
    </xf>
    <xf numFmtId="0" fontId="1" fillId="3" borderId="11" xfId="0" applyFill="true" applyBorder="true" quotePrefix="false" applyNumberFormat="false" applyFont="true">
      <alignment vertical="center" wrapText="false"/>
    </xf>
    <xf numFmtId="0" fontId="1" fillId="5" borderId="9" xfId="0" applyFill="true" applyBorder="true" quotePrefix="false" applyNumberFormat="false" applyFont="true">
      <alignment vertical="center" wrapText="false"/>
    </xf>
    <xf numFmtId="0" fontId="1" fillId="0" borderId="13" xfId="0" applyBorder="true" quotePrefix="false" applyNumberFormat="false" applyFont="true">
      <alignment vertical="center" wrapText="false"/>
    </xf>
    <xf numFmtId="0" fontId="1" fillId="13" borderId="1" xfId="0" applyFill="true" applyBorder="true" quotePrefix="false" applyNumberFormat="false" applyFont="true">
      <alignment vertical="center" wrapText="true"/>
    </xf>
    <xf numFmtId="0" fontId="13" fillId="13" borderId="1" xfId="0" applyFill="true" applyBorder="true" quotePrefix="false" applyNumberFormat="false" applyFont="true">
      <alignment vertical="center" wrapText="true"/>
    </xf>
    <xf numFmtId="49" fontId="14" fillId="0" borderId="1" xfId="0" applyBorder="true" quotePrefix="false" applyNumberFormat="true" applyFont="true">
      <alignment vertical="center" wrapText="true"/>
    </xf>
    <xf numFmtId="0" fontId="13" fillId="0" borderId="1" xfId="0" applyBorder="true" quotePrefix="false" applyNumberFormat="false" applyFont="true">
      <alignment vertical="center" wrapText="true"/>
    </xf>
    <xf numFmtId="0" fontId="1" fillId="0" borderId="7" xfId="0" applyBorder="true" quotePrefix="false" applyNumberFormat="false" applyFont="true">
      <alignment horizontal="center" vertical="center" wrapText="false"/>
    </xf>
    <xf numFmtId="0" fontId="6" fillId="0" borderId="1" xfId="0" applyBorder="true" quotePrefix="false" applyNumberFormat="false" applyFont="true">
      <alignment horizontal="center" vertical="center" wrapText="true"/>
    </xf>
    <xf numFmtId="0" fontId="13" fillId="0" borderId="9" xfId="0" applyBorder="true" quotePrefix="false" applyNumberFormat="false" applyFont="true">
      <alignment vertical="center" wrapText="true"/>
    </xf>
    <xf numFmtId="0" fontId="6" fillId="0" borderId="9" xfId="0" applyBorder="true" quotePrefix="false" applyNumberFormat="false" applyFont="true">
      <alignment horizontal="center" vertical="center" wrapText="true"/>
    </xf>
    <xf numFmtId="0" fontId="13" fillId="3" borderId="1" xfId="0" applyFill="true" applyBorder="true" quotePrefix="false" applyNumberFormat="false" applyFont="true">
      <alignment horizontal="center" vertical="center" wrapText="true"/>
    </xf>
    <xf numFmtId="0" fontId="13" fillId="3" borderId="1" xfId="0" applyFill="true" applyBorder="true" quotePrefix="false" applyNumberFormat="false" applyFont="true">
      <alignment vertical="center" wrapText="true"/>
    </xf>
    <xf numFmtId="0" fontId="6" fillId="3" borderId="1" xfId="0" applyFill="true" applyBorder="true" quotePrefix="false" applyNumberFormat="false" applyFont="true">
      <alignment horizontal="center" vertical="center" wrapText="true"/>
    </xf>
    <xf numFmtId="0" fontId="1" fillId="0" borderId="1" xfId="0" applyBorder="true" quotePrefix="false" applyNumberFormat="false" applyFont="true">
      <alignment vertical="center" wrapText="false"/>
    </xf>
    <xf numFmtId="0" fontId="1" fillId="0" borderId="5" xfId="0" applyBorder="true" quotePrefix="false" applyNumberFormat="false" applyFont="true">
      <alignment vertical="center" wrapText="false"/>
    </xf>
    <xf numFmtId="0" fontId="1" fillId="0" borderId="3" xfId="0" applyBorder="true" quotePrefix="false" applyNumberFormat="false" applyFont="true">
      <alignment vertical="center" wrapText="false"/>
    </xf>
    <xf numFmtId="0" fontId="1" fillId="0" borderId="7" xfId="0" applyBorder="true" quotePrefix="false" applyNumberFormat="false" applyFont="true">
      <alignment vertical="center" wrapText="false"/>
    </xf>
    <xf numFmtId="165" fontId="1" fillId="0" borderId="15" xfId="0" applyBorder="true" quotePrefix="false" applyNumberFormat="true" applyFont="true">
      <alignment vertical="center" wrapText="false"/>
    </xf>
    <xf numFmtId="0" fontId="1" fillId="0" borderId="17" xfId="0" applyBorder="true" quotePrefix="false" applyNumberFormat="false" applyFont="true">
      <alignment vertical="center" wrapText="false"/>
    </xf>
    <xf numFmtId="0" fontId="1" fillId="3" borderId="9" xfId="0" applyFill="true" applyBorder="true" quotePrefix="false" applyNumberFormat="false" applyFont="true">
      <alignment vertical="center" wrapText="false"/>
    </xf>
    <xf numFmtId="0" fontId="1" fillId="0" borderId="9" xfId="0" applyBorder="true" quotePrefix="false" applyNumberFormat="false" applyFont="true">
      <alignment vertical="center" wrapText="false"/>
    </xf>
    <xf numFmtId="0" fontId="1" fillId="0" borderId="13" xfId="0" applyBorder="true" quotePrefix="false" applyNumberFormat="false" applyFont="true">
      <alignment vertical="center" wrapText="false"/>
    </xf>
    <xf numFmtId="10" fontId="1" fillId="0" borderId="1" xfId="0" applyBorder="true" quotePrefix="false" applyNumberFormat="true" applyFont="true">
      <alignment vertical="center" wrapText="false"/>
    </xf>
    <xf numFmtId="0" fontId="1" fillId="0" borderId="1" xfId="0" applyBorder="true" quotePrefix="false" applyNumberFormat="true" applyFont="true">
      <alignment vertical="center" wrapText="false"/>
    </xf>
    <xf numFmtId="0" fontId="1" fillId="0" borderId="15" xfId="0" applyBorder="true" quotePrefix="false" applyNumberFormat="true" applyFont="true">
      <alignment vertical="center" wrapText="false"/>
    </xf>
    <xf numFmtId="0" fontId="1" fillId="0" borderId="17" xfId="0" applyBorder="true" quotePrefix="false" applyNumberFormat="true" applyFont="true">
      <alignment vertical="center" wrapText="false"/>
    </xf>
    <xf numFmtId="0" fontId="1" fillId="0" borderId="15" xfId="0" applyBorder="true" quotePrefix="false" applyNumberFormat="true" applyFont="true">
      <alignment vertical="center" wrapText="false"/>
    </xf>
    <xf numFmtId="0" fontId="15" fillId="0" borderId="1" xfId="0" applyBorder="true" quotePrefix="false" applyNumberFormat="false" applyFont="true">
      <alignment vertical="center" wrapText="false"/>
    </xf>
    <xf numFmtId="0" fontId="15" fillId="0" borderId="1" xfId="0" applyBorder="true" quotePrefix="false" applyNumberFormat="false" applyFont="true">
      <alignment vertical="center" wrapText="false"/>
    </xf>
    <xf numFmtId="0" fontId="1" fillId="0" borderId="17" xfId="0" applyBorder="true" quotePrefix="false" applyNumberFormat="true" applyFont="true">
      <alignment vertical="center" wrapText="false"/>
    </xf>
    <xf numFmtId="0" fontId="1" fillId="0" borderId="15" xfId="0" applyBorder="true" quotePrefix="false" applyNumberFormat="false" applyFont="true">
      <alignment vertical="center" wrapText="false"/>
    </xf>
    <xf numFmtId="0" fontId="1" fillId="0" borderId="11" xfId="0" applyBorder="true" quotePrefix="false" applyNumberFormat="true" applyFont="true">
      <alignment vertical="center" wrapText="false"/>
    </xf>
    <xf numFmtId="0" fontId="1" fillId="0" borderId="13" xfId="0" applyBorder="true" quotePrefix="false" applyNumberFormat="true" applyFont="true">
      <alignment vertical="center" wrapText="false"/>
    </xf>
    <xf numFmtId="0" fontId="15" fillId="0" borderId="17" xfId="0" applyBorder="true" quotePrefix="false" applyNumberFormat="false" applyFont="true">
      <alignment vertical="center" wrapText="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no"?><Relationships xmlns="http://schemas.openxmlformats.org/package/2006/relationships"><Relationship Id="rId1" Target="../drawings/drawing2.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dimension ref="A1"/>
  <sheetViews>
    <sheetView workbookViewId="0" tabSelected="true"/>
  </sheetViews>
  <sheetFormatPr defaultRowHeight="16.0" baseColWidth="10"/>
  <cols>
    <col min="1" max="1" width="7.666666666666667" customWidth="true"/>
    <col min="2" max="2" width="10.833333333333334" customWidth="true"/>
    <col min="3" max="3" width="10.833333333333334" customWidth="true"/>
    <col min="4" max="4" width="10.833333333333334" customWidth="true"/>
    <col min="5" max="5" width="10.833333333333334" customWidth="true"/>
    <col min="6" max="6" width="12.5" customWidth="true"/>
    <col min="7" max="7" width="10.833333333333334" customWidth="true"/>
    <col min="8" max="8" width="14.333333333333334" customWidth="true"/>
    <col min="9" max="9" width="14.5" customWidth="true"/>
    <col min="10" max="10" width="10.833333333333334"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s>
  <sheetData>
    <row r="1">
      <c r="A1" s="1" t="s">
        <v>0</v>
      </c>
      <c r="B1" s="1" t="s">
        <v>1</v>
      </c>
      <c r="C1" s="1" t="s">
        <v>2</v>
      </c>
      <c r="D1" s="1" t="s">
        <v>3</v>
      </c>
      <c r="E1" s="1" t="s">
        <v>4</v>
      </c>
      <c r="F1" s="1"/>
      <c r="G1" s="1"/>
      <c r="H1" s="2"/>
      <c r="I1" s="1"/>
      <c r="J1" s="1"/>
      <c r="K1" s="1"/>
      <c r="L1" s="2"/>
      <c r="M1" s="2"/>
      <c r="N1" s="2"/>
      <c r="O1" s="2"/>
      <c r="P1" s="2"/>
      <c r="Q1" s="2"/>
      <c r="R1" s="2"/>
      <c r="S1" s="2"/>
      <c r="T1" s="2"/>
      <c r="U1" s="2"/>
      <c r="V1" s="2"/>
      <c r="W1" s="2"/>
      <c r="X1" s="2"/>
    </row>
    <row r="2">
      <c r="A2" s="3" t="n">
        <v>44067.0</v>
      </c>
      <c r="B2" s="1" t="s">
        <v>5</v>
      </c>
      <c r="C2" s="1" t="s">
        <v>6</v>
      </c>
      <c r="D2" s="1"/>
      <c r="E2" s="2"/>
      <c r="F2" s="1"/>
      <c r="G2" s="1"/>
      <c r="H2" s="2"/>
      <c r="I2" s="1"/>
      <c r="J2" s="1"/>
      <c r="K2" s="1"/>
      <c r="L2" s="2"/>
      <c r="M2" s="2"/>
      <c r="N2" s="2"/>
      <c r="O2" s="2"/>
      <c r="P2" s="2"/>
      <c r="Q2" s="2"/>
      <c r="R2" s="2"/>
      <c r="S2" s="2"/>
      <c r="T2" s="2"/>
      <c r="U2" s="2"/>
      <c r="V2" s="2"/>
      <c r="W2" s="2"/>
      <c r="X2" s="2"/>
    </row>
    <row r="3">
      <c r="A3" s="3" t="n">
        <v>44068.0</v>
      </c>
      <c r="B3" s="1" t="s">
        <v>7</v>
      </c>
      <c r="C3" s="1" t="s">
        <v>6</v>
      </c>
      <c r="D3" s="1" t="s">
        <v>8</v>
      </c>
      <c r="E3" s="1"/>
      <c r="F3" s="1"/>
      <c r="G3" s="1"/>
      <c r="H3" s="2"/>
      <c r="I3" s="1"/>
      <c r="J3" s="1"/>
      <c r="K3" s="2"/>
      <c r="L3" s="2"/>
      <c r="M3" s="2"/>
      <c r="N3" s="2"/>
      <c r="O3" s="2"/>
      <c r="P3" s="2"/>
      <c r="Q3" s="2"/>
      <c r="R3" s="2"/>
      <c r="S3" s="2"/>
      <c r="T3" s="2"/>
      <c r="U3" s="2"/>
      <c r="V3" s="2"/>
      <c r="W3" s="2"/>
      <c r="X3" s="2"/>
    </row>
    <row r="4">
      <c r="A4" s="3" t="n">
        <v>44069.0</v>
      </c>
      <c r="B4" s="1" t="s">
        <v>9</v>
      </c>
      <c r="C4" s="1" t="s">
        <v>10</v>
      </c>
      <c r="D4" s="1" t="s">
        <v>11</v>
      </c>
      <c r="E4" s="1" t="s">
        <v>10</v>
      </c>
      <c r="F4" s="1"/>
      <c r="G4" s="1"/>
      <c r="H4" s="2"/>
      <c r="I4" s="1"/>
      <c r="J4" s="1"/>
      <c r="K4" s="2"/>
      <c r="L4" s="2"/>
      <c r="M4" s="2"/>
      <c r="N4" s="2"/>
      <c r="O4" s="2"/>
      <c r="P4" s="2"/>
      <c r="Q4" s="2"/>
      <c r="R4" s="2"/>
      <c r="S4" s="2"/>
      <c r="T4" s="2"/>
      <c r="U4" s="2"/>
      <c r="V4" s="2"/>
      <c r="W4" s="2"/>
      <c r="X4" s="2"/>
    </row>
    <row r="5">
      <c r="A5" s="3" t="n">
        <v>44070.0</v>
      </c>
      <c r="B5" s="1" t="s">
        <v>12</v>
      </c>
      <c r="C5" s="1"/>
      <c r="D5" s="1" t="s">
        <v>13</v>
      </c>
      <c r="E5" s="1" t="s">
        <v>14</v>
      </c>
      <c r="F5" s="1"/>
      <c r="G5" s="1"/>
      <c r="H5" s="2"/>
      <c r="I5" s="1"/>
      <c r="J5" s="1"/>
      <c r="K5" s="2"/>
      <c r="L5" s="2"/>
      <c r="M5" s="2"/>
      <c r="N5" s="2"/>
      <c r="O5" s="2"/>
      <c r="P5" s="2"/>
      <c r="Q5" s="2"/>
      <c r="R5" s="2"/>
      <c r="S5" s="2"/>
      <c r="T5" s="2"/>
      <c r="U5" s="2"/>
      <c r="V5" s="2"/>
      <c r="W5" s="2"/>
      <c r="X5" s="2"/>
    </row>
    <row r="6">
      <c r="A6" s="3" t="n">
        <v>44071.0</v>
      </c>
      <c r="B6" s="1" t="s">
        <v>15</v>
      </c>
      <c r="C6" s="1"/>
      <c r="D6" s="1"/>
      <c r="E6" s="1"/>
      <c r="F6" s="1"/>
      <c r="G6" s="1"/>
      <c r="H6" s="2"/>
      <c r="I6" s="1"/>
      <c r="J6" s="1"/>
      <c r="K6" s="1"/>
      <c r="L6" s="2"/>
      <c r="M6" s="2"/>
      <c r="N6" s="2"/>
      <c r="O6" s="2"/>
      <c r="P6" s="2"/>
      <c r="Q6" s="2"/>
      <c r="R6" s="2"/>
      <c r="S6" s="2"/>
      <c r="T6" s="2"/>
      <c r="U6" s="2"/>
      <c r="V6" s="2"/>
      <c r="W6" s="2"/>
      <c r="X6" s="2"/>
    </row>
    <row r="7">
      <c r="A7" s="3" t="n">
        <v>44072.0</v>
      </c>
      <c r="B7" s="1" t="s">
        <v>16</v>
      </c>
      <c r="C7" s="1"/>
      <c r="D7" s="1" t="s">
        <v>17</v>
      </c>
      <c r="E7" s="1" t="s">
        <v>18</v>
      </c>
      <c r="F7" s="1"/>
      <c r="G7" s="1"/>
      <c r="H7" s="2"/>
      <c r="I7" s="1"/>
      <c r="J7" s="1"/>
      <c r="K7" s="1"/>
      <c r="L7" s="2"/>
      <c r="M7" s="2"/>
      <c r="N7" s="2"/>
      <c r="O7" s="2"/>
      <c r="P7" s="2"/>
      <c r="Q7" s="2"/>
      <c r="R7" s="2"/>
      <c r="S7" s="2"/>
      <c r="T7" s="2"/>
      <c r="U7" s="2"/>
      <c r="V7" s="2"/>
      <c r="W7" s="2"/>
      <c r="X7" s="2"/>
    </row>
    <row r="8">
      <c r="A8" s="3" t="n">
        <v>44073.0</v>
      </c>
      <c r="B8" s="1" t="s">
        <v>19</v>
      </c>
      <c r="C8" s="1"/>
      <c r="D8" s="1" t="s">
        <v>20</v>
      </c>
      <c r="E8" s="1"/>
      <c r="F8" s="1"/>
      <c r="G8" s="1"/>
      <c r="H8" s="2"/>
      <c r="I8" s="1"/>
      <c r="J8" s="1"/>
      <c r="K8" s="1"/>
      <c r="L8" s="2"/>
      <c r="M8" s="1"/>
      <c r="N8" s="2"/>
      <c r="O8" s="2"/>
      <c r="P8" s="2"/>
      <c r="Q8" s="2"/>
      <c r="R8" s="2"/>
      <c r="S8" s="2"/>
      <c r="T8" s="2"/>
      <c r="U8" s="2"/>
      <c r="V8" s="2"/>
      <c r="W8" s="2"/>
      <c r="X8" s="2"/>
    </row>
    <row r="9">
      <c r="A9" s="4"/>
      <c r="B9" s="1"/>
      <c r="C9" s="1"/>
      <c r="D9" s="1"/>
      <c r="E9" s="5"/>
      <c r="F9" s="1"/>
      <c r="G9" s="1"/>
      <c r="H9" s="1"/>
      <c r="I9" s="1"/>
      <c r="J9" s="1"/>
      <c r="K9" s="2"/>
    </row>
    <row r="10">
      <c r="A10" s="6" t="s">
        <v>21</v>
      </c>
      <c r="B10" s="7" t="s">
        <v>22</v>
      </c>
      <c r="C10" s="7"/>
      <c r="D10" s="8" t="s">
        <v>23</v>
      </c>
      <c r="E10" s="5"/>
      <c r="F10" s="1"/>
      <c r="G10" s="1"/>
      <c r="H10" s="1"/>
      <c r="I10" s="1"/>
      <c r="J10" s="1"/>
    </row>
    <row r="11" customHeight="1" ht="26.0">
      <c r="A11" s="9" t="s">
        <v>24</v>
      </c>
      <c r="B11" s="10" t="s">
        <v>25</v>
      </c>
      <c r="C11" s="10"/>
      <c r="D11" s="11" t="s">
        <v>26</v>
      </c>
      <c r="E11" s="5"/>
      <c r="F11" s="1"/>
      <c r="G11" s="1"/>
      <c r="H11" s="1"/>
      <c r="I11" s="1"/>
      <c r="J11" s="1"/>
    </row>
    <row r="12" customHeight="1" ht="26.0">
      <c r="A12" s="4" t="s">
        <v>27</v>
      </c>
      <c r="B12" s="12" t="s">
        <v>28</v>
      </c>
      <c r="C12" s="13" t="s">
        <v>29</v>
      </c>
      <c r="D12" s="1"/>
      <c r="E12" s="5"/>
      <c r="F12" s="1"/>
      <c r="G12" s="1"/>
      <c r="H12" s="1"/>
      <c r="I12" s="1"/>
      <c r="J12" s="1"/>
    </row>
    <row r="13">
      <c r="A13" s="4"/>
      <c r="B13" s="1"/>
      <c r="C13" s="1"/>
      <c r="D13" s="1"/>
      <c r="E13" s="5"/>
      <c r="F13" s="1"/>
      <c r="G13" s="1"/>
      <c r="H13" s="1"/>
      <c r="I13" s="1"/>
      <c r="J13" s="1"/>
    </row>
    <row r="14">
      <c r="A14" s="4"/>
      <c r="B14" s="1"/>
      <c r="C14" s="1"/>
      <c r="D14" s="1"/>
      <c r="E14" s="5"/>
      <c r="F14" s="1"/>
      <c r="G14" s="1"/>
      <c r="H14" s="1"/>
      <c r="I14" s="1"/>
      <c r="J14" s="1"/>
      <c r="M14" s="2"/>
    </row>
    <row r="15">
      <c r="A15" s="14" t="s">
        <v>30</v>
      </c>
      <c r="B15" s="14"/>
      <c r="C15" s="14"/>
      <c r="D15" s="14"/>
      <c r="E15" s="14"/>
      <c r="F15" s="14"/>
      <c r="G15" s="14"/>
      <c r="H15" s="14"/>
      <c r="I15" s="14"/>
      <c r="J15" s="14"/>
      <c r="K15" s="14"/>
      <c r="L15" s="14"/>
      <c r="M15" s="14"/>
      <c r="N15" s="14"/>
      <c r="O15" s="14"/>
      <c r="P15" s="14"/>
      <c r="Q15" s="14"/>
      <c r="R15" s="14"/>
      <c r="S15" s="14"/>
      <c r="T15" s="14"/>
      <c r="U15" s="14"/>
      <c r="V15" s="14"/>
      <c r="W15" s="14"/>
      <c r="X15" s="14"/>
    </row>
    <row r="16">
      <c r="A16" s="4" t="s">
        <v>0</v>
      </c>
      <c r="B16" s="2" t="s">
        <v>1</v>
      </c>
      <c r="C16" s="2" t="s">
        <v>2</v>
      </c>
      <c r="D16" s="2" t="s">
        <v>3</v>
      </c>
      <c r="E16" s="15" t="s">
        <v>31</v>
      </c>
      <c r="F16" s="2" t="s">
        <v>32</v>
      </c>
      <c r="G16" s="2" t="s">
        <v>33</v>
      </c>
      <c r="H16" s="2" t="s">
        <v>34</v>
      </c>
      <c r="I16" s="2" t="s">
        <v>35</v>
      </c>
      <c r="J16" s="2" t="s">
        <v>36</v>
      </c>
    </row>
    <row r="17" customHeight="1" ht="26.0">
      <c r="A17" s="16" t="n">
        <v>43969.0</v>
      </c>
      <c r="B17" s="2" t="s">
        <v>5</v>
      </c>
      <c r="C17" s="2" t="s">
        <v>37</v>
      </c>
      <c r="D17" s="2" t="s">
        <v>37</v>
      </c>
      <c r="E17" s="15" t="s">
        <v>38</v>
      </c>
      <c r="G17" s="2" t="s">
        <v>39</v>
      </c>
      <c r="O17" s="1"/>
    </row>
    <row r="18" customHeight="1" ht="39.0">
      <c r="A18" s="17" t="n">
        <v>43970.0</v>
      </c>
      <c r="B18" s="1" t="s">
        <v>7</v>
      </c>
      <c r="C18" s="2" t="s">
        <v>40</v>
      </c>
      <c r="D18" s="2" t="s">
        <v>41</v>
      </c>
      <c r="E18" s="15" t="s">
        <v>42</v>
      </c>
      <c r="F18" s="15" t="s">
        <v>43</v>
      </c>
      <c r="G18" s="2" t="s">
        <v>44</v>
      </c>
      <c r="H18" s="2" t="s">
        <v>45</v>
      </c>
    </row>
    <row r="19" customHeight="1" ht="26.0">
      <c r="A19" s="17" t="n">
        <v>43971.0</v>
      </c>
      <c r="B19" s="1" t="s">
        <v>9</v>
      </c>
      <c r="C19" s="1" t="s">
        <v>46</v>
      </c>
      <c r="D19" s="2" t="s">
        <v>46</v>
      </c>
      <c r="E19" s="15" t="s">
        <v>47</v>
      </c>
      <c r="F19" s="2" t="s">
        <v>48</v>
      </c>
      <c r="G19" s="1" t="s">
        <v>48</v>
      </c>
      <c r="H19" s="2" t="s">
        <v>49</v>
      </c>
    </row>
    <row r="20" customHeight="1" ht="26.0">
      <c r="A20" s="17" t="n">
        <v>43972.0</v>
      </c>
      <c r="B20" s="1" t="s">
        <v>12</v>
      </c>
      <c r="C20" s="2" t="s">
        <v>46</v>
      </c>
      <c r="D20" s="2" t="s">
        <v>50</v>
      </c>
      <c r="E20" s="15" t="s">
        <v>51</v>
      </c>
      <c r="F20" s="2" t="s">
        <v>52</v>
      </c>
      <c r="G20" s="1" t="s">
        <v>52</v>
      </c>
      <c r="I20" s="2" t="s">
        <v>53</v>
      </c>
    </row>
    <row r="21" customHeight="1" ht="26.0">
      <c r="A21" s="17" t="n">
        <v>43973.0</v>
      </c>
      <c r="B21" s="1" t="s">
        <v>15</v>
      </c>
      <c r="C21" s="1" t="s">
        <v>50</v>
      </c>
      <c r="D21" s="2" t="s">
        <v>54</v>
      </c>
      <c r="E21" s="15" t="s">
        <v>55</v>
      </c>
      <c r="F21" s="2" t="s">
        <v>56</v>
      </c>
      <c r="G21" s="2" t="s">
        <v>56</v>
      </c>
      <c r="H21" s="2" t="s">
        <v>57</v>
      </c>
      <c r="I21" s="2" t="s">
        <v>58</v>
      </c>
    </row>
    <row r="22">
      <c r="A22" s="17" t="n">
        <v>43974.0</v>
      </c>
      <c r="B22" s="1" t="s">
        <v>16</v>
      </c>
      <c r="C22" s="1" t="s">
        <v>50</v>
      </c>
      <c r="D22" s="1" t="s">
        <v>50</v>
      </c>
      <c r="E22" s="15"/>
      <c r="G22" s="2" t="s">
        <v>51</v>
      </c>
      <c r="I22" s="2" t="s">
        <v>59</v>
      </c>
    </row>
    <row r="23">
      <c r="A23" s="17" t="n">
        <v>43975.0</v>
      </c>
      <c r="B23" s="1" t="s">
        <v>19</v>
      </c>
      <c r="C23" s="1" t="s">
        <v>54</v>
      </c>
      <c r="D23" s="1" t="s">
        <v>54</v>
      </c>
      <c r="E23" s="15"/>
      <c r="G23" s="2" t="s">
        <v>55</v>
      </c>
      <c r="H23" s="2" t="s">
        <v>60</v>
      </c>
      <c r="I23" s="2" t="s">
        <v>61</v>
      </c>
    </row>
    <row r="24">
      <c r="A24" s="4"/>
      <c r="B24" s="1"/>
      <c r="C24" s="18" t="s">
        <v>62</v>
      </c>
      <c r="D24" s="18" t="s">
        <v>62</v>
      </c>
      <c r="E24" s="19" t="s">
        <v>63</v>
      </c>
      <c r="F24" s="19" t="s">
        <v>63</v>
      </c>
      <c r="G24" s="18" t="s">
        <v>62</v>
      </c>
      <c r="H24" s="19" t="s">
        <v>63</v>
      </c>
      <c r="I24" s="20" t="s">
        <v>64</v>
      </c>
    </row>
    <row r="25">
      <c r="A25" s="17" t="n">
        <v>43976.0</v>
      </c>
      <c r="B25" s="1" t="s">
        <v>5</v>
      </c>
      <c r="C25" s="1" t="s">
        <v>37</v>
      </c>
      <c r="D25" s="1" t="s">
        <v>50</v>
      </c>
      <c r="E25" s="21" t="n">
        <v>0.0</v>
      </c>
      <c r="F25" s="2" t="s">
        <v>51</v>
      </c>
      <c r="G25" s="22" t="n">
        <v>0.0</v>
      </c>
      <c r="H25" s="22" t="n">
        <v>0.0</v>
      </c>
      <c r="I25" s="2" t="s">
        <v>65</v>
      </c>
    </row>
    <row r="26">
      <c r="A26" s="17" t="n">
        <v>43977.0</v>
      </c>
      <c r="B26" s="1" t="s">
        <v>7</v>
      </c>
      <c r="C26" s="22" t="n">
        <v>0.0</v>
      </c>
      <c r="D26" s="1" t="s">
        <v>54</v>
      </c>
      <c r="E26" s="21" t="n">
        <v>0.0</v>
      </c>
      <c r="F26" s="22" t="n">
        <v>0.0</v>
      </c>
      <c r="G26" s="22" t="n">
        <v>0.0</v>
      </c>
      <c r="H26" s="22" t="n">
        <v>0.0</v>
      </c>
      <c r="I26" s="22" t="n">
        <v>0.0</v>
      </c>
    </row>
    <row r="27">
      <c r="A27" s="17" t="n">
        <v>43978.0</v>
      </c>
      <c r="B27" s="1" t="s">
        <v>9</v>
      </c>
      <c r="C27" s="1" t="s">
        <v>54</v>
      </c>
      <c r="D27" s="1" t="s">
        <v>66</v>
      </c>
      <c r="E27" s="21" t="n">
        <v>0.0</v>
      </c>
      <c r="F27" s="22" t="n">
        <v>0.0</v>
      </c>
      <c r="G27" s="22" t="n">
        <v>0.0</v>
      </c>
      <c r="H27" s="22" t="n">
        <v>0.0</v>
      </c>
      <c r="I27" s="2" t="s">
        <v>67</v>
      </c>
    </row>
    <row r="28">
      <c r="A28" s="17" t="n">
        <v>43979.0</v>
      </c>
      <c r="B28" s="1" t="s">
        <v>12</v>
      </c>
      <c r="C28" s="1" t="s">
        <v>37</v>
      </c>
      <c r="D28" s="1" t="s">
        <v>66</v>
      </c>
      <c r="E28" s="21" t="n">
        <v>0.0</v>
      </c>
      <c r="F28" s="22" t="n">
        <v>0.0</v>
      </c>
      <c r="G28" s="22" t="n">
        <v>0.0</v>
      </c>
      <c r="H28" s="22" t="n">
        <v>0.0</v>
      </c>
      <c r="I28" s="2" t="s">
        <v>68</v>
      </c>
    </row>
    <row r="29">
      <c r="A29" s="17" t="n">
        <v>43980.0</v>
      </c>
      <c r="B29" s="1" t="s">
        <v>15</v>
      </c>
      <c r="C29" s="2" t="s">
        <v>69</v>
      </c>
      <c r="D29" s="1" t="s">
        <v>54</v>
      </c>
      <c r="E29" s="21" t="n">
        <v>0.0</v>
      </c>
      <c r="F29" s="22" t="n">
        <v>0.0</v>
      </c>
      <c r="G29" s="22" t="n">
        <v>0.0</v>
      </c>
      <c r="H29" s="22" t="n">
        <v>0.0</v>
      </c>
      <c r="I29" s="2" t="s">
        <v>70</v>
      </c>
    </row>
    <row r="30">
      <c r="A30" s="17" t="n">
        <v>43981.0</v>
      </c>
      <c r="B30" s="1" t="s">
        <v>16</v>
      </c>
      <c r="C30" s="2" t="s">
        <v>71</v>
      </c>
      <c r="D30" s="1" t="s">
        <v>66</v>
      </c>
      <c r="E30" s="21" t="n">
        <v>0.0</v>
      </c>
      <c r="F30" s="22" t="n">
        <v>0.0</v>
      </c>
      <c r="G30" s="22" t="n">
        <v>0.0</v>
      </c>
      <c r="H30" s="22" t="n">
        <v>0.0</v>
      </c>
      <c r="I30" s="2" t="s">
        <v>72</v>
      </c>
    </row>
    <row r="31">
      <c r="A31" s="17" t="n">
        <v>43982.0</v>
      </c>
      <c r="B31" s="1" t="s">
        <v>19</v>
      </c>
      <c r="C31" s="22" t="n">
        <v>0.0</v>
      </c>
      <c r="D31" s="2" t="s">
        <v>73</v>
      </c>
      <c r="E31" s="21" t="n">
        <v>0.0</v>
      </c>
      <c r="F31" s="22" t="n">
        <v>0.0</v>
      </c>
      <c r="G31" s="22" t="n">
        <v>0.0</v>
      </c>
      <c r="H31" s="22" t="n">
        <v>0.0</v>
      </c>
      <c r="I31" s="2" t="s">
        <v>74</v>
      </c>
    </row>
    <row r="32">
      <c r="A32" s="2"/>
      <c r="B32" s="2"/>
      <c r="C32" s="19" t="s">
        <v>63</v>
      </c>
      <c r="D32" s="18" t="s">
        <v>62</v>
      </c>
      <c r="E32" s="23" t="s">
        <v>75</v>
      </c>
      <c r="F32" s="24" t="s">
        <v>76</v>
      </c>
      <c r="G32" s="24" t="s">
        <v>75</v>
      </c>
      <c r="H32" s="24" t="s">
        <v>75</v>
      </c>
      <c r="I32" s="19" t="s">
        <v>63</v>
      </c>
    </row>
    <row r="33">
      <c r="A33" s="17" t="n">
        <v>43983.0</v>
      </c>
      <c r="B33" s="1" t="s">
        <v>5</v>
      </c>
      <c r="C33" s="22" t="n">
        <v>0.0</v>
      </c>
      <c r="D33" s="1" t="s">
        <v>73</v>
      </c>
      <c r="E33" s="15"/>
      <c r="H33" s="22" t="n">
        <v>0.0</v>
      </c>
    </row>
    <row r="34">
      <c r="A34" s="17" t="n">
        <v>43984.0</v>
      </c>
      <c r="B34" s="1" t="s">
        <v>7</v>
      </c>
      <c r="C34" s="22" t="n">
        <v>0.0</v>
      </c>
      <c r="D34" s="2" t="s">
        <v>77</v>
      </c>
      <c r="E34" s="15"/>
      <c r="H34" s="2" t="s">
        <v>78</v>
      </c>
      <c r="I34" s="2" t="s">
        <v>79</v>
      </c>
    </row>
    <row r="35">
      <c r="A35" s="17" t="n">
        <v>43985.0</v>
      </c>
      <c r="B35" s="1" t="s">
        <v>9</v>
      </c>
      <c r="C35" s="2" t="s">
        <v>80</v>
      </c>
      <c r="D35" s="1" t="s">
        <v>77</v>
      </c>
      <c r="E35" s="15"/>
      <c r="H35" s="2" t="s">
        <v>55</v>
      </c>
      <c r="I35" s="2" t="s">
        <v>81</v>
      </c>
    </row>
    <row r="36">
      <c r="A36" s="17" t="n">
        <v>43986.0</v>
      </c>
      <c r="B36" s="1" t="s">
        <v>12</v>
      </c>
      <c r="C36" s="2" t="s">
        <v>82</v>
      </c>
      <c r="E36" s="15"/>
      <c r="H36" s="22" t="n">
        <v>0.0</v>
      </c>
      <c r="I36" s="2" t="s">
        <v>83</v>
      </c>
    </row>
    <row r="37">
      <c r="A37" s="17" t="n">
        <v>43987.0</v>
      </c>
      <c r="B37" s="1" t="s">
        <v>15</v>
      </c>
      <c r="C37" s="2" t="s">
        <v>84</v>
      </c>
      <c r="E37" s="15"/>
      <c r="H37" s="2" t="s">
        <v>85</v>
      </c>
      <c r="I37" s="2" t="s">
        <v>86</v>
      </c>
    </row>
    <row r="38">
      <c r="A38" s="17" t="n">
        <v>43988.0</v>
      </c>
      <c r="B38" s="1" t="s">
        <v>16</v>
      </c>
      <c r="C38" s="22" t="n">
        <v>0.0</v>
      </c>
      <c r="E38" s="15"/>
      <c r="I38" s="2" t="s">
        <v>87</v>
      </c>
    </row>
    <row r="39">
      <c r="A39" s="17" t="n">
        <v>43989.0</v>
      </c>
      <c r="B39" s="1" t="s">
        <v>19</v>
      </c>
      <c r="D39" s="1" t="s">
        <v>77</v>
      </c>
      <c r="E39" s="15"/>
      <c r="I39" s="2" t="s">
        <v>88</v>
      </c>
    </row>
    <row r="40">
      <c r="E40" s="15"/>
      <c r="I40" s="2" t="s">
        <v>89</v>
      </c>
    </row>
    <row r="41">
      <c r="E41" s="15"/>
    </row>
    <row r="42">
      <c r="A42" s="17" t="n">
        <v>44032.0</v>
      </c>
      <c r="B42" s="1" t="s">
        <v>90</v>
      </c>
      <c r="C42" s="1" t="s">
        <v>91</v>
      </c>
      <c r="D42" s="1"/>
      <c r="E42" s="5"/>
      <c r="F42" s="1"/>
      <c r="G42" s="1"/>
      <c r="H42" s="1"/>
      <c r="I42" s="1"/>
      <c r="J42" s="1"/>
      <c r="K42" s="2"/>
      <c r="L42" s="2"/>
      <c r="M42" s="2"/>
      <c r="N42" s="2"/>
      <c r="O42" s="2"/>
      <c r="P42" s="2"/>
      <c r="Q42" s="2"/>
      <c r="R42" s="2"/>
      <c r="S42" s="2"/>
      <c r="T42" s="2"/>
      <c r="U42" s="2"/>
      <c r="V42" s="2"/>
      <c r="W42" s="2"/>
      <c r="X42" s="2"/>
    </row>
    <row r="43">
      <c r="A43" s="17" t="n">
        <v>44033.0</v>
      </c>
      <c r="B43" s="1" t="s">
        <v>92</v>
      </c>
      <c r="C43" s="1" t="s">
        <v>93</v>
      </c>
      <c r="D43" s="1"/>
      <c r="E43" s="5"/>
      <c r="F43" s="1"/>
      <c r="G43" s="1"/>
      <c r="H43" s="1"/>
      <c r="I43" s="1"/>
      <c r="J43" s="1"/>
      <c r="K43" s="2"/>
      <c r="L43" s="2"/>
      <c r="M43" s="2"/>
      <c r="N43" s="2"/>
      <c r="O43" s="2"/>
      <c r="P43" s="2"/>
      <c r="Q43" s="2"/>
      <c r="R43" s="2"/>
      <c r="S43" s="2"/>
      <c r="T43" s="2"/>
      <c r="U43" s="2"/>
      <c r="V43" s="2"/>
      <c r="W43" s="2"/>
      <c r="X43" s="2"/>
    </row>
    <row r="44">
      <c r="A44" s="17" t="n">
        <v>44034.0</v>
      </c>
      <c r="B44" s="1" t="s">
        <v>94</v>
      </c>
      <c r="C44" s="1" t="s">
        <v>95</v>
      </c>
      <c r="D44" s="1"/>
      <c r="E44" s="5"/>
      <c r="F44" s="1"/>
      <c r="G44" s="1"/>
      <c r="H44" s="1"/>
      <c r="I44" s="1"/>
      <c r="J44" s="1"/>
      <c r="K44" s="2"/>
      <c r="L44" s="2"/>
      <c r="M44" s="2"/>
      <c r="N44" s="2"/>
      <c r="O44" s="2"/>
      <c r="P44" s="2"/>
      <c r="Q44" s="2"/>
      <c r="R44" s="2"/>
      <c r="S44" s="2"/>
      <c r="T44" s="2"/>
      <c r="U44" s="2"/>
      <c r="V44" s="2"/>
      <c r="W44" s="2"/>
      <c r="X44" s="2"/>
    </row>
    <row r="45">
      <c r="A45" s="17" t="n">
        <v>44035.0</v>
      </c>
      <c r="B45" s="1" t="s">
        <v>96</v>
      </c>
      <c r="C45" s="1" t="s">
        <v>97</v>
      </c>
      <c r="D45" s="1"/>
      <c r="E45" s="5"/>
      <c r="F45" s="1"/>
      <c r="G45" s="1"/>
      <c r="H45" s="1"/>
      <c r="I45" s="1"/>
      <c r="J45" s="1"/>
      <c r="K45" s="2"/>
      <c r="L45" s="2"/>
      <c r="M45" s="2"/>
      <c r="N45" s="2"/>
      <c r="O45" s="2"/>
      <c r="P45" s="2"/>
      <c r="Q45" s="2"/>
      <c r="R45" s="2"/>
      <c r="S45" s="2"/>
      <c r="T45" s="2"/>
      <c r="U45" s="2"/>
      <c r="V45" s="2"/>
      <c r="W45" s="2"/>
      <c r="X45" s="2"/>
    </row>
    <row r="46">
      <c r="A46" s="17" t="n">
        <v>44036.0</v>
      </c>
      <c r="B46" s="1" t="s">
        <v>98</v>
      </c>
      <c r="C46" s="1" t="s">
        <v>99</v>
      </c>
      <c r="D46" s="1"/>
      <c r="E46" s="5"/>
      <c r="F46" s="1"/>
      <c r="G46" s="1"/>
      <c r="H46" s="1"/>
      <c r="I46" s="1"/>
      <c r="J46" s="1"/>
      <c r="K46" s="2"/>
      <c r="L46" s="2"/>
      <c r="M46" s="2"/>
      <c r="N46" s="2"/>
      <c r="O46" s="2"/>
      <c r="P46" s="2"/>
      <c r="Q46" s="2"/>
      <c r="R46" s="2"/>
      <c r="S46" s="2"/>
      <c r="T46" s="2"/>
      <c r="U46" s="2"/>
      <c r="V46" s="2"/>
      <c r="W46" s="2"/>
      <c r="X46" s="2"/>
    </row>
    <row r="47">
      <c r="A47" s="17" t="n">
        <v>44037.0</v>
      </c>
      <c r="B47" s="1" t="s">
        <v>100</v>
      </c>
      <c r="C47" s="1"/>
      <c r="D47" s="1"/>
      <c r="E47" s="5"/>
      <c r="F47" s="1"/>
      <c r="G47" s="1"/>
      <c r="H47" s="1"/>
      <c r="I47" s="1"/>
      <c r="J47" s="1"/>
      <c r="K47" s="2"/>
      <c r="L47" s="2"/>
      <c r="M47" s="2"/>
      <c r="N47" s="2"/>
      <c r="O47" s="2"/>
      <c r="P47" s="2"/>
      <c r="Q47" s="2"/>
      <c r="R47" s="2"/>
      <c r="S47" s="2"/>
      <c r="T47" s="2"/>
      <c r="U47" s="2"/>
      <c r="V47" s="2"/>
      <c r="W47" s="2"/>
      <c r="X47" s="2"/>
    </row>
    <row r="48">
      <c r="A48" s="17" t="n">
        <v>44038.0</v>
      </c>
      <c r="B48" s="1" t="s">
        <v>101</v>
      </c>
      <c r="C48" s="1"/>
      <c r="D48" s="1"/>
      <c r="E48" s="5"/>
      <c r="F48" s="1"/>
      <c r="G48" s="1"/>
      <c r="H48" s="1"/>
      <c r="I48" s="1"/>
      <c r="J48" s="1"/>
      <c r="K48" s="2"/>
      <c r="L48" s="2"/>
      <c r="M48" s="2"/>
      <c r="N48" s="2"/>
      <c r="O48" s="2"/>
      <c r="P48" s="2"/>
      <c r="Q48" s="2"/>
      <c r="R48" s="2"/>
      <c r="S48" s="2"/>
      <c r="T48" s="2"/>
      <c r="U48" s="2"/>
      <c r="V48" s="2"/>
      <c r="W48" s="2"/>
      <c r="X48" s="2"/>
    </row>
    <row r="49">
      <c r="E49" s="15"/>
    </row>
    <row r="50">
      <c r="E50" s="15"/>
    </row>
    <row r="51">
      <c r="A51" s="4" t="s">
        <v>0</v>
      </c>
      <c r="B51" s="1" t="s">
        <v>102</v>
      </c>
      <c r="C51" s="1" t="s">
        <v>2</v>
      </c>
      <c r="D51" s="1" t="s">
        <v>32</v>
      </c>
      <c r="E51" s="1" t="s">
        <v>3</v>
      </c>
      <c r="F51" s="5" t="s">
        <v>34</v>
      </c>
      <c r="G51" s="1" t="s">
        <v>103</v>
      </c>
      <c r="H51" s="2"/>
      <c r="I51" s="1"/>
      <c r="J51" s="1"/>
      <c r="K51" s="2"/>
      <c r="L51" s="2"/>
      <c r="M51" s="2"/>
      <c r="N51" s="2"/>
      <c r="O51" s="2"/>
      <c r="P51" s="2"/>
      <c r="Q51" s="2"/>
      <c r="R51" s="2"/>
      <c r="S51" s="2"/>
      <c r="T51" s="2"/>
      <c r="U51" s="2"/>
      <c r="V51" s="2"/>
      <c r="W51" s="2"/>
      <c r="X51" s="2"/>
    </row>
    <row r="52">
      <c r="A52" s="17" t="n">
        <v>44039.0</v>
      </c>
      <c r="B52" s="1" t="s">
        <v>90</v>
      </c>
      <c r="C52" s="25" t="s">
        <v>91</v>
      </c>
      <c r="D52" s="25" t="s">
        <v>39</v>
      </c>
      <c r="E52" s="12" t="s">
        <v>104</v>
      </c>
      <c r="F52" s="26"/>
      <c r="G52" s="25" t="s">
        <v>91</v>
      </c>
      <c r="H52" s="2"/>
      <c r="I52" s="1"/>
      <c r="J52" s="1"/>
      <c r="K52" s="2"/>
      <c r="L52" s="2"/>
      <c r="M52" s="2"/>
      <c r="N52" s="2"/>
      <c r="O52" s="2"/>
      <c r="P52" s="2"/>
      <c r="Q52" s="2"/>
      <c r="R52" s="2"/>
      <c r="S52" s="2"/>
      <c r="T52" s="2"/>
      <c r="U52" s="2"/>
      <c r="V52" s="2"/>
      <c r="W52" s="2"/>
      <c r="X52" s="2"/>
    </row>
    <row r="53">
      <c r="A53" s="17" t="n">
        <v>44040.0</v>
      </c>
      <c r="B53" s="1" t="s">
        <v>92</v>
      </c>
      <c r="C53" s="25" t="s">
        <v>105</v>
      </c>
      <c r="D53" s="25" t="s">
        <v>40</v>
      </c>
      <c r="E53" s="12" t="s">
        <v>106</v>
      </c>
      <c r="F53" s="26"/>
      <c r="G53" s="25" t="s">
        <v>91</v>
      </c>
      <c r="H53" s="2"/>
      <c r="I53" s="1"/>
      <c r="J53" s="1"/>
      <c r="K53" s="2"/>
      <c r="L53" s="2"/>
      <c r="M53" s="2"/>
      <c r="N53" s="2"/>
      <c r="O53" s="2"/>
      <c r="P53" s="2"/>
      <c r="Q53" s="2"/>
      <c r="R53" s="2"/>
      <c r="S53" s="2"/>
      <c r="T53" s="2"/>
      <c r="U53" s="2"/>
      <c r="V53" s="2"/>
      <c r="W53" s="2"/>
      <c r="X53" s="2"/>
    </row>
    <row r="54">
      <c r="A54" s="17" t="n">
        <v>44041.0</v>
      </c>
      <c r="B54" s="1" t="s">
        <v>94</v>
      </c>
      <c r="C54" s="25" t="s">
        <v>8</v>
      </c>
      <c r="D54" s="25" t="s">
        <v>8</v>
      </c>
      <c r="E54" s="12" t="s">
        <v>107</v>
      </c>
      <c r="F54" s="26"/>
      <c r="G54" s="27" t="s">
        <v>105</v>
      </c>
      <c r="H54" s="2"/>
      <c r="I54" s="1"/>
      <c r="J54" s="1"/>
      <c r="K54" s="2"/>
      <c r="L54" s="2"/>
      <c r="M54" s="2"/>
      <c r="N54" s="2"/>
      <c r="O54" s="2"/>
      <c r="P54" s="2"/>
      <c r="Q54" s="2"/>
      <c r="R54" s="2"/>
      <c r="S54" s="2"/>
      <c r="T54" s="2"/>
      <c r="U54" s="2"/>
      <c r="V54" s="2"/>
      <c r="W54" s="2"/>
      <c r="X54" s="2"/>
    </row>
    <row r="55">
      <c r="A55" s="17" t="n">
        <v>44042.0</v>
      </c>
      <c r="B55" s="1" t="s">
        <v>96</v>
      </c>
      <c r="C55" s="26" t="s">
        <v>108</v>
      </c>
      <c r="D55" s="25" t="s">
        <v>11</v>
      </c>
      <c r="E55" s="12" t="s">
        <v>109</v>
      </c>
      <c r="F55" s="26"/>
      <c r="G55" s="26" t="s">
        <v>108</v>
      </c>
      <c r="H55" s="2"/>
      <c r="I55" s="1"/>
      <c r="J55" s="1"/>
      <c r="K55" s="2"/>
      <c r="L55" s="2"/>
      <c r="M55" s="2"/>
      <c r="N55" s="2"/>
      <c r="O55" s="2"/>
      <c r="P55" s="2"/>
      <c r="Q55" s="2"/>
      <c r="R55" s="2"/>
      <c r="S55" s="2"/>
      <c r="T55" s="2"/>
      <c r="U55" s="2"/>
      <c r="V55" s="2"/>
      <c r="W55" s="2"/>
      <c r="X55" s="2"/>
    </row>
    <row r="56">
      <c r="A56" s="17" t="n">
        <v>44043.0</v>
      </c>
      <c r="B56" s="1" t="s">
        <v>98</v>
      </c>
      <c r="C56" s="25" t="s">
        <v>110</v>
      </c>
      <c r="D56" s="26"/>
      <c r="E56" s="12" t="s">
        <v>111</v>
      </c>
      <c r="F56" s="26"/>
      <c r="G56" s="26" t="s">
        <v>108</v>
      </c>
      <c r="H56" s="2"/>
      <c r="I56" s="1"/>
      <c r="J56" s="1"/>
      <c r="K56" s="2"/>
      <c r="L56" s="2"/>
      <c r="M56" s="2"/>
      <c r="N56" s="2"/>
      <c r="O56" s="2"/>
      <c r="P56" s="2"/>
      <c r="Q56" s="2"/>
      <c r="R56" s="2"/>
      <c r="S56" s="2"/>
      <c r="T56" s="2"/>
      <c r="U56" s="2"/>
      <c r="V56" s="2"/>
      <c r="W56" s="2"/>
      <c r="X56" s="2"/>
    </row>
    <row r="57">
      <c r="A57" s="17" t="n">
        <v>44044.0</v>
      </c>
      <c r="B57" s="1" t="s">
        <v>100</v>
      </c>
      <c r="C57" s="26" t="s">
        <v>108</v>
      </c>
      <c r="D57" s="26"/>
      <c r="E57" s="12" t="s">
        <v>112</v>
      </c>
      <c r="F57" s="26"/>
      <c r="G57" s="25" t="s">
        <v>8</v>
      </c>
      <c r="H57" s="2"/>
      <c r="I57" s="1"/>
      <c r="J57" s="1"/>
      <c r="K57" s="2"/>
      <c r="L57" s="2"/>
      <c r="M57" s="2"/>
      <c r="N57" s="2"/>
      <c r="O57" s="2"/>
      <c r="P57" s="2"/>
      <c r="Q57" s="2"/>
      <c r="R57" s="2"/>
      <c r="S57" s="2"/>
      <c r="T57" s="2"/>
      <c r="U57" s="2"/>
      <c r="V57" s="2"/>
      <c r="W57" s="2"/>
      <c r="X57" s="2"/>
    </row>
    <row r="58">
      <c r="A58" s="17" t="n">
        <v>44045.0</v>
      </c>
      <c r="B58" s="1" t="s">
        <v>101</v>
      </c>
      <c r="C58" s="26" t="s">
        <v>108</v>
      </c>
      <c r="D58" s="26"/>
      <c r="E58" s="12" t="s">
        <v>113</v>
      </c>
      <c r="F58" s="26"/>
      <c r="G58" s="25" t="s">
        <v>8</v>
      </c>
      <c r="H58" s="2"/>
      <c r="I58" s="1"/>
      <c r="J58" s="1"/>
      <c r="K58" s="2"/>
      <c r="L58" s="2"/>
      <c r="M58" s="2"/>
      <c r="N58" s="2"/>
      <c r="O58" s="2"/>
      <c r="P58" s="2"/>
      <c r="Q58" s="2"/>
      <c r="R58" s="2"/>
      <c r="S58" s="2"/>
      <c r="T58" s="2"/>
      <c r="U58" s="2"/>
      <c r="V58" s="2"/>
      <c r="W58" s="2"/>
      <c r="X58" s="2"/>
    </row>
    <row r="59">
      <c r="E59" s="15"/>
      <c r="F59" s="2"/>
      <c r="G59" s="2"/>
      <c r="H59" s="2"/>
      <c r="K59" s="2"/>
    </row>
    <row r="60">
      <c r="C60" s="28" t="s">
        <v>114</v>
      </c>
      <c r="D60" s="18" t="s">
        <v>114</v>
      </c>
      <c r="E60" s="18" t="s">
        <v>114</v>
      </c>
      <c r="F60" s="29" t="s">
        <v>115</v>
      </c>
      <c r="G60" s="18" t="s">
        <v>114</v>
      </c>
      <c r="H60" s="2"/>
      <c r="K60" s="2"/>
    </row>
    <row r="61">
      <c r="A61" s="2" t="s">
        <v>116</v>
      </c>
      <c r="C61" s="22" t="n">
        <v>2.0</v>
      </c>
      <c r="D61" s="22" t="n">
        <v>2.0</v>
      </c>
      <c r="E61" s="21" t="n">
        <v>2.0</v>
      </c>
      <c r="F61" s="22" t="n">
        <v>-1.0</v>
      </c>
      <c r="G61" s="22" t="n">
        <v>2.0</v>
      </c>
    </row>
    <row r="62">
      <c r="E62" s="15"/>
    </row>
    <row r="63">
      <c r="E63" s="15"/>
    </row>
    <row r="64">
      <c r="A64" s="4" t="s">
        <v>0</v>
      </c>
      <c r="B64" s="1" t="s">
        <v>102</v>
      </c>
      <c r="C64" s="1" t="s">
        <v>2</v>
      </c>
      <c r="D64" s="1" t="s">
        <v>3</v>
      </c>
      <c r="E64" s="1" t="s">
        <v>4</v>
      </c>
      <c r="F64" s="1" t="s">
        <v>32</v>
      </c>
      <c r="G64" s="1" t="s">
        <v>117</v>
      </c>
      <c r="H64" s="1" t="s">
        <v>103</v>
      </c>
    </row>
    <row r="65">
      <c r="A65" s="17" t="n">
        <v>44046.0</v>
      </c>
      <c r="B65" s="1" t="s">
        <v>90</v>
      </c>
      <c r="C65" s="25" t="s">
        <v>110</v>
      </c>
      <c r="D65" s="25" t="s">
        <v>10</v>
      </c>
      <c r="E65" s="26"/>
      <c r="F65" s="25" t="s">
        <v>13</v>
      </c>
      <c r="G65" s="30" t="s">
        <v>10</v>
      </c>
      <c r="H65" s="25" t="s">
        <v>11</v>
      </c>
    </row>
    <row r="66">
      <c r="A66" s="17" t="n">
        <v>44047.0</v>
      </c>
      <c r="B66" s="1" t="s">
        <v>92</v>
      </c>
      <c r="C66" s="26" t="s">
        <v>6</v>
      </c>
      <c r="D66" s="25" t="s">
        <v>40</v>
      </c>
      <c r="E66" s="25" t="s">
        <v>10</v>
      </c>
      <c r="F66" s="25" t="s">
        <v>17</v>
      </c>
      <c r="G66" s="26" t="s">
        <v>118</v>
      </c>
      <c r="H66" s="26" t="s">
        <v>118</v>
      </c>
    </row>
    <row r="67">
      <c r="A67" s="17" t="n">
        <v>44048.0</v>
      </c>
      <c r="B67" s="1" t="s">
        <v>94</v>
      </c>
      <c r="C67" s="25" t="s">
        <v>119</v>
      </c>
      <c r="D67" s="25" t="s">
        <v>8</v>
      </c>
      <c r="E67" s="25" t="s">
        <v>10</v>
      </c>
      <c r="F67" s="25" t="s">
        <v>20</v>
      </c>
      <c r="G67" s="26" t="s">
        <v>118</v>
      </c>
      <c r="H67" s="25" t="s">
        <v>13</v>
      </c>
    </row>
    <row r="68">
      <c r="A68" s="17" t="n">
        <v>44049.0</v>
      </c>
      <c r="B68" s="1" t="s">
        <v>96</v>
      </c>
      <c r="C68" s="26" t="s">
        <v>6</v>
      </c>
      <c r="D68" s="25" t="s">
        <v>11</v>
      </c>
      <c r="E68" s="25" t="s">
        <v>40</v>
      </c>
      <c r="F68" s="26"/>
      <c r="G68" s="25" t="s">
        <v>40</v>
      </c>
      <c r="H68" s="25" t="s">
        <v>13</v>
      </c>
    </row>
    <row r="69">
      <c r="A69" s="17" t="n">
        <v>44050.0</v>
      </c>
      <c r="B69" s="1" t="s">
        <v>98</v>
      </c>
      <c r="C69" s="26" t="s">
        <v>6</v>
      </c>
      <c r="D69" s="25" t="s">
        <v>13</v>
      </c>
      <c r="E69" s="26" t="s">
        <v>118</v>
      </c>
      <c r="F69" s="25" t="s">
        <v>120</v>
      </c>
      <c r="G69" s="26" t="s">
        <v>118</v>
      </c>
      <c r="H69" s="25" t="s">
        <v>17</v>
      </c>
    </row>
    <row r="70">
      <c r="A70" s="17" t="n">
        <v>44051.0</v>
      </c>
      <c r="B70" s="1" t="s">
        <v>100</v>
      </c>
      <c r="C70" s="25" t="s">
        <v>121</v>
      </c>
      <c r="D70" s="25" t="s">
        <v>17</v>
      </c>
      <c r="E70" s="25" t="s">
        <v>40</v>
      </c>
      <c r="F70" s="25" t="s">
        <v>104</v>
      </c>
      <c r="G70" s="26" t="s">
        <v>118</v>
      </c>
      <c r="H70" s="25" t="s">
        <v>17</v>
      </c>
    </row>
    <row r="71">
      <c r="A71" s="17" t="n">
        <v>44052.0</v>
      </c>
      <c r="B71" s="1" t="s">
        <v>101</v>
      </c>
      <c r="C71" s="25" t="s">
        <v>122</v>
      </c>
      <c r="D71" s="26" t="s">
        <v>108</v>
      </c>
      <c r="E71" s="26" t="s">
        <v>118</v>
      </c>
      <c r="F71" s="1"/>
      <c r="G71" s="26" t="s">
        <v>118</v>
      </c>
      <c r="H71" s="26" t="s">
        <v>118</v>
      </c>
    </row>
    <row r="72">
      <c r="E72" s="15"/>
    </row>
    <row r="73">
      <c r="C73" s="18" t="s">
        <v>114</v>
      </c>
      <c r="D73" s="18" t="s">
        <v>114</v>
      </c>
      <c r="E73" s="18" t="s">
        <v>114</v>
      </c>
      <c r="F73" s="18" t="s">
        <v>114</v>
      </c>
      <c r="G73" s="29" t="s">
        <v>115</v>
      </c>
      <c r="H73" s="18" t="s">
        <v>114</v>
      </c>
    </row>
    <row r="74">
      <c r="A74" s="1" t="s">
        <v>116</v>
      </c>
      <c r="C74" s="22" t="n">
        <v>2.0</v>
      </c>
      <c r="D74" s="22" t="n">
        <v>2.0</v>
      </c>
      <c r="E74" s="21" t="n">
        <v>2.0</v>
      </c>
      <c r="F74" s="22" t="n">
        <v>2.0</v>
      </c>
      <c r="G74" s="22" t="n">
        <v>-0.2</v>
      </c>
      <c r="H74" s="22" t="n">
        <v>2.0</v>
      </c>
    </row>
    <row r="75">
      <c r="A75" s="2"/>
      <c r="E75" s="15"/>
    </row>
    <row r="76">
      <c r="E76" s="15"/>
    </row>
    <row r="77">
      <c r="E77" s="15"/>
    </row>
    <row r="78">
      <c r="E78" s="15"/>
    </row>
    <row r="79">
      <c r="A79" s="1" t="s">
        <v>0</v>
      </c>
      <c r="B79" s="1" t="s">
        <v>102</v>
      </c>
      <c r="C79" s="1" t="s">
        <v>2</v>
      </c>
      <c r="D79" s="1" t="s">
        <v>4</v>
      </c>
      <c r="E79" s="1" t="s">
        <v>32</v>
      </c>
      <c r="F79" s="1" t="s">
        <v>3</v>
      </c>
      <c r="G79" s="1" t="s">
        <v>103</v>
      </c>
      <c r="H79" s="1" t="s">
        <v>36</v>
      </c>
    </row>
    <row r="80">
      <c r="A80" s="3" t="n">
        <v>44053.0</v>
      </c>
      <c r="B80" s="1" t="s">
        <v>90</v>
      </c>
      <c r="C80" s="25" t="s">
        <v>123</v>
      </c>
      <c r="D80" s="25" t="s">
        <v>8</v>
      </c>
      <c r="E80" s="25" t="s">
        <v>106</v>
      </c>
      <c r="F80" s="25" t="s">
        <v>20</v>
      </c>
      <c r="G80" s="25" t="s">
        <v>70</v>
      </c>
      <c r="H80" s="1"/>
    </row>
    <row r="81">
      <c r="A81" s="3" t="n">
        <v>44054.0</v>
      </c>
      <c r="B81" s="1" t="s">
        <v>92</v>
      </c>
      <c r="C81" s="1" t="s">
        <v>6</v>
      </c>
      <c r="D81" s="1" t="s">
        <v>118</v>
      </c>
      <c r="E81" s="25" t="s">
        <v>107</v>
      </c>
      <c r="F81" s="25" t="s">
        <v>120</v>
      </c>
      <c r="G81" s="25" t="s">
        <v>70</v>
      </c>
      <c r="H81" s="1"/>
    </row>
    <row r="82">
      <c r="A82" s="3" t="n">
        <v>44055.0</v>
      </c>
      <c r="B82" s="1" t="s">
        <v>94</v>
      </c>
      <c r="C82" s="25" t="s">
        <v>124</v>
      </c>
      <c r="D82" s="25" t="s">
        <v>8</v>
      </c>
      <c r="E82" s="25" t="s">
        <v>109</v>
      </c>
      <c r="F82" s="12" t="s">
        <v>104</v>
      </c>
      <c r="G82" s="25" t="s">
        <v>20</v>
      </c>
      <c r="H82" s="1"/>
    </row>
    <row r="83">
      <c r="A83" s="3" t="n">
        <v>44056.0</v>
      </c>
      <c r="B83" s="1" t="s">
        <v>96</v>
      </c>
      <c r="C83" s="25" t="s">
        <v>125</v>
      </c>
      <c r="D83" s="1" t="s">
        <v>118</v>
      </c>
      <c r="E83" s="1"/>
      <c r="F83" s="25" t="s">
        <v>106</v>
      </c>
      <c r="G83" s="25" t="s">
        <v>20</v>
      </c>
      <c r="H83" s="1"/>
    </row>
    <row r="84">
      <c r="A84" s="3" t="n">
        <v>44057.0</v>
      </c>
      <c r="B84" s="1" t="s">
        <v>98</v>
      </c>
      <c r="C84" s="1" t="s">
        <v>6</v>
      </c>
      <c r="D84" s="1" t="s">
        <v>118</v>
      </c>
      <c r="E84" s="1"/>
      <c r="F84" s="25" t="s">
        <v>107</v>
      </c>
      <c r="G84" s="1" t="s">
        <v>118</v>
      </c>
      <c r="H84" s="1"/>
    </row>
    <row r="85">
      <c r="A85" s="3" t="n">
        <v>44058.0</v>
      </c>
      <c r="B85" s="1" t="s">
        <v>100</v>
      </c>
      <c r="C85" s="25" t="s">
        <v>124</v>
      </c>
      <c r="D85" s="1" t="s">
        <v>118</v>
      </c>
      <c r="E85" s="1"/>
      <c r="F85" s="25" t="s">
        <v>109</v>
      </c>
      <c r="G85" s="1" t="s">
        <v>118</v>
      </c>
      <c r="H85" s="1"/>
    </row>
    <row r="86">
      <c r="A86" s="3" t="n">
        <v>44059.0</v>
      </c>
      <c r="B86" s="1" t="s">
        <v>101</v>
      </c>
      <c r="C86" s="25" t="s">
        <v>125</v>
      </c>
      <c r="D86" s="1" t="s">
        <v>118</v>
      </c>
      <c r="E86" s="1"/>
      <c r="F86" s="25" t="s">
        <v>111</v>
      </c>
      <c r="G86" s="1" t="s">
        <v>118</v>
      </c>
      <c r="H86" s="1"/>
    </row>
    <row r="87">
      <c r="E87" s="15"/>
    </row>
    <row r="88">
      <c r="E88" s="15"/>
    </row>
    <row r="89">
      <c r="E89" s="15"/>
    </row>
    <row r="90">
      <c r="A90" s="1" t="s">
        <v>0</v>
      </c>
      <c r="B90" s="1" t="s">
        <v>102</v>
      </c>
      <c r="C90" s="1" t="s">
        <v>2</v>
      </c>
      <c r="D90" s="1" t="s">
        <v>3</v>
      </c>
      <c r="E90" s="15"/>
    </row>
    <row r="91">
      <c r="A91" s="3" t="n">
        <v>44060.0</v>
      </c>
      <c r="B91" s="5" t="s">
        <v>90</v>
      </c>
      <c r="C91" s="1" t="s">
        <v>6</v>
      </c>
      <c r="D91" s="25" t="s">
        <v>112</v>
      </c>
      <c r="E91" s="15"/>
    </row>
    <row r="92">
      <c r="A92" s="3" t="n">
        <v>44061.0</v>
      </c>
      <c r="B92" s="5" t="s">
        <v>92</v>
      </c>
      <c r="C92" s="25" t="s">
        <v>13</v>
      </c>
      <c r="D92" s="25" t="s">
        <v>113</v>
      </c>
      <c r="E92" s="15"/>
    </row>
    <row r="93">
      <c r="A93" s="3" t="n">
        <v>44062.0</v>
      </c>
      <c r="B93" s="5" t="s">
        <v>94</v>
      </c>
      <c r="C93" s="1" t="s">
        <v>6</v>
      </c>
      <c r="D93" s="1"/>
      <c r="E93" s="15"/>
    </row>
    <row r="94">
      <c r="A94" s="3" t="n">
        <v>44063.0</v>
      </c>
      <c r="B94" s="5" t="s">
        <v>96</v>
      </c>
      <c r="C94" s="1" t="s">
        <v>6</v>
      </c>
      <c r="D94" s="25" t="s">
        <v>113</v>
      </c>
      <c r="E94" s="15"/>
    </row>
    <row r="95">
      <c r="A95" s="3" t="n">
        <v>44064.0</v>
      </c>
      <c r="B95" s="5" t="s">
        <v>98</v>
      </c>
      <c r="C95" s="1" t="s">
        <v>6</v>
      </c>
      <c r="D95" s="25" t="s">
        <v>10</v>
      </c>
      <c r="E95" s="15"/>
    </row>
    <row r="96">
      <c r="A96" s="3" t="n">
        <v>44065.0</v>
      </c>
      <c r="B96" s="5" t="s">
        <v>100</v>
      </c>
      <c r="C96" s="1" t="s">
        <v>126</v>
      </c>
      <c r="D96" s="25" t="s">
        <v>40</v>
      </c>
      <c r="E96" s="15"/>
    </row>
    <row r="97">
      <c r="A97" s="3" t="n">
        <v>44066.0</v>
      </c>
      <c r="B97" s="5" t="s">
        <v>101</v>
      </c>
      <c r="C97" s="1" t="s">
        <v>6</v>
      </c>
      <c r="D97" s="1"/>
      <c r="E97" s="15"/>
    </row>
    <row r="98">
      <c r="C98" s="1" t="s">
        <v>76</v>
      </c>
      <c r="D98" s="1" t="s">
        <v>127</v>
      </c>
      <c r="E98" s="15"/>
    </row>
    <row r="99">
      <c r="D99" s="2"/>
      <c r="E99" s="15"/>
    </row>
    <row r="100">
      <c r="E100" s="15"/>
    </row>
    <row r="101">
      <c r="E101" s="15"/>
    </row>
    <row r="102">
      <c r="E102" s="15"/>
    </row>
    <row r="103">
      <c r="E103" s="15"/>
    </row>
    <row r="104">
      <c r="E104" s="15"/>
    </row>
    <row r="105">
      <c r="E105" s="15"/>
    </row>
    <row r="106">
      <c r="E106" s="15"/>
    </row>
    <row r="107">
      <c r="E107" s="15"/>
    </row>
    <row r="108">
      <c r="E108" s="15"/>
    </row>
    <row r="109">
      <c r="E109" s="15"/>
    </row>
    <row r="110">
      <c r="E110" s="15"/>
    </row>
    <row r="111">
      <c r="E111" s="15"/>
    </row>
    <row r="112">
      <c r="E112" s="15"/>
    </row>
    <row r="113">
      <c r="E113" s="15"/>
    </row>
    <row r="114">
      <c r="E114" s="15"/>
    </row>
    <row r="115">
      <c r="E115" s="15"/>
    </row>
    <row r="116">
      <c r="E116" s="15"/>
    </row>
    <row r="117">
      <c r="E117" s="15"/>
    </row>
    <row r="118">
      <c r="E118" s="15"/>
    </row>
    <row r="119">
      <c r="E119" s="15"/>
    </row>
    <row r="120">
      <c r="E120" s="15"/>
    </row>
    <row r="121">
      <c r="E121" s="15"/>
    </row>
    <row r="122">
      <c r="E122" s="15"/>
    </row>
    <row r="123">
      <c r="E123" s="15"/>
    </row>
    <row r="124">
      <c r="E124" s="15"/>
    </row>
    <row r="125">
      <c r="E125" s="15"/>
    </row>
    <row r="126">
      <c r="E126" s="15"/>
    </row>
    <row r="127">
      <c r="E127" s="15"/>
    </row>
    <row r="128">
      <c r="E128" s="15"/>
    </row>
    <row r="129">
      <c r="E129" s="15"/>
    </row>
    <row r="130">
      <c r="E130" s="15"/>
    </row>
    <row r="131">
      <c r="E131" s="15"/>
    </row>
    <row r="132">
      <c r="E132" s="15"/>
    </row>
    <row r="133">
      <c r="E133" s="15"/>
    </row>
    <row r="134">
      <c r="E134" s="15"/>
    </row>
    <row r="135">
      <c r="E135" s="15"/>
    </row>
    <row r="136">
      <c r="E136" s="15"/>
    </row>
    <row r="137">
      <c r="E137" s="15"/>
    </row>
    <row r="138">
      <c r="E138" s="15"/>
    </row>
    <row r="139">
      <c r="E139" s="15"/>
    </row>
    <row r="140">
      <c r="E140" s="15"/>
    </row>
    <row r="141">
      <c r="E141" s="15"/>
    </row>
    <row r="142">
      <c r="E142" s="15"/>
    </row>
    <row r="143">
      <c r="E143" s="15"/>
    </row>
    <row r="144">
      <c r="E144" s="15"/>
    </row>
    <row r="145">
      <c r="E145" s="15"/>
    </row>
    <row r="146">
      <c r="E146" s="15"/>
    </row>
    <row r="147">
      <c r="E147" s="15"/>
    </row>
    <row r="148">
      <c r="E148" s="15"/>
    </row>
    <row r="149">
      <c r="E149" s="15"/>
    </row>
    <row r="150">
      <c r="E150" s="15"/>
    </row>
    <row r="151">
      <c r="E151" s="15"/>
    </row>
    <row r="152">
      <c r="E152" s="15"/>
    </row>
    <row r="153">
      <c r="E153" s="15"/>
    </row>
    <row r="154">
      <c r="E154" s="15"/>
    </row>
    <row r="155">
      <c r="E155" s="15"/>
    </row>
    <row r="156">
      <c r="E156" s="15"/>
    </row>
    <row r="157">
      <c r="E157" s="15"/>
    </row>
    <row r="158">
      <c r="E158" s="15"/>
    </row>
    <row r="159">
      <c r="E159" s="15"/>
    </row>
    <row r="160">
      <c r="E160" s="15"/>
    </row>
    <row r="161">
      <c r="E161" s="15"/>
    </row>
    <row r="162">
      <c r="E162" s="15"/>
    </row>
    <row r="163">
      <c r="E163" s="15"/>
    </row>
    <row r="164">
      <c r="E164" s="15"/>
    </row>
    <row r="165">
      <c r="E165" s="15"/>
    </row>
    <row r="166">
      <c r="E166" s="15"/>
    </row>
    <row r="167">
      <c r="E167" s="15"/>
    </row>
    <row r="168">
      <c r="E168" s="15"/>
    </row>
    <row r="169">
      <c r="E169" s="15"/>
    </row>
    <row r="170">
      <c r="E170" s="15"/>
    </row>
    <row r="171">
      <c r="E171" s="15"/>
    </row>
    <row r="172">
      <c r="E172" s="15"/>
    </row>
    <row r="173">
      <c r="E173" s="15"/>
    </row>
    <row r="174">
      <c r="E174" s="15"/>
    </row>
    <row r="175">
      <c r="E175" s="15"/>
    </row>
    <row r="176">
      <c r="E176" s="15"/>
    </row>
    <row r="177">
      <c r="E177" s="15"/>
    </row>
    <row r="178">
      <c r="E178" s="15"/>
    </row>
    <row r="179">
      <c r="E179" s="15"/>
    </row>
    <row r="180">
      <c r="E180" s="15"/>
    </row>
    <row r="181">
      <c r="E181" s="15"/>
    </row>
    <row r="182">
      <c r="E182" s="15"/>
    </row>
    <row r="183">
      <c r="E183" s="15"/>
    </row>
    <row r="184">
      <c r="E184" s="15"/>
    </row>
    <row r="185">
      <c r="E185" s="15"/>
    </row>
    <row r="186">
      <c r="E186" s="15"/>
    </row>
    <row r="187">
      <c r="E187" s="15"/>
    </row>
    <row r="188">
      <c r="E188" s="15"/>
    </row>
    <row r="189">
      <c r="E189" s="15"/>
    </row>
    <row r="190">
      <c r="E190" s="15"/>
    </row>
    <row r="191">
      <c r="E191" s="15"/>
    </row>
    <row r="192">
      <c r="E192" s="15"/>
    </row>
    <row r="193">
      <c r="E193" s="15"/>
    </row>
    <row r="194">
      <c r="E194" s="15"/>
    </row>
    <row r="195">
      <c r="E195" s="15"/>
    </row>
    <row r="196">
      <c r="E196" s="15"/>
    </row>
    <row r="197">
      <c r="E197" s="15"/>
    </row>
    <row r="198">
      <c r="E198" s="15"/>
    </row>
    <row r="199">
      <c r="E199" s="15"/>
    </row>
    <row r="200">
      <c r="E200" s="15"/>
    </row>
    <row r="201">
      <c r="E201" s="15"/>
    </row>
    <row r="202">
      <c r="E202" s="15"/>
    </row>
    <row r="203">
      <c r="E203" s="15"/>
    </row>
    <row r="204">
      <c r="E204" s="15"/>
    </row>
    <row r="205">
      <c r="E205" s="15"/>
    </row>
    <row r="206">
      <c r="E206" s="15"/>
    </row>
    <row r="207">
      <c r="E207" s="15"/>
    </row>
    <row r="208">
      <c r="E208" s="15"/>
    </row>
    <row r="209">
      <c r="E209" s="15"/>
    </row>
    <row r="210">
      <c r="E210" s="15"/>
    </row>
    <row r="211">
      <c r="E211" s="15"/>
    </row>
    <row r="212">
      <c r="E212" s="15"/>
    </row>
    <row r="213">
      <c r="E213" s="15"/>
    </row>
    <row r="214">
      <c r="E214" s="15"/>
    </row>
    <row r="215">
      <c r="E215" s="15"/>
    </row>
    <row r="216">
      <c r="E216" s="15"/>
    </row>
    <row r="217">
      <c r="E217" s="15"/>
    </row>
  </sheetData>
  <mergeCells>
    <mergeCell ref="B10:C10"/>
    <mergeCell ref="B11:C11"/>
    <mergeCell ref="A15:X15"/>
  </mergeCell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0" baseColWidth="10"/>
  <cols>
    <col min="1" max="1" width="10.833333333333334" customWidth="true"/>
    <col min="2" max="2" width="4.5" customWidth="true"/>
    <col min="3" max="3" width="14.666666666666666" customWidth="true"/>
    <col min="4" max="4" width="12.333333333333334" customWidth="true"/>
    <col min="5" max="5" width="14.666666666666666" customWidth="true"/>
    <col min="6" max="6" width="12.333333333333334" customWidth="true"/>
    <col min="7" max="7" width="12.166666666666666" customWidth="true"/>
    <col min="8" max="8" width="10.833333333333334" customWidth="true"/>
    <col min="9" max="9" width="10.833333333333334" customWidth="true"/>
    <col min="10" max="10" width="10.833333333333334"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 min="25" max="25" width="10.833333333333334" customWidth="true"/>
    <col min="26" max="26" width="10.833333333333334" customWidth="true"/>
  </cols>
  <sheetData>
    <row r="1" hidden="1">
      <c r="A1" s="2"/>
      <c r="B1" s="2"/>
      <c r="C1" s="2"/>
      <c r="D1" s="5"/>
      <c r="E1" s="5"/>
      <c r="F1" s="5"/>
      <c r="G1" s="5"/>
      <c r="H1" s="5"/>
      <c r="I1" s="5"/>
      <c r="J1" s="5"/>
      <c r="K1" s="5"/>
      <c r="L1" s="5"/>
      <c r="M1" s="5"/>
      <c r="N1" s="5"/>
      <c r="O1" s="5"/>
      <c r="P1" s="5"/>
      <c r="Q1" s="5"/>
      <c r="R1" s="15"/>
      <c r="S1" s="15"/>
      <c r="T1" s="15"/>
      <c r="U1" s="15"/>
      <c r="V1" s="15"/>
      <c r="W1" s="15"/>
      <c r="X1" s="15"/>
      <c r="Y1" s="15"/>
      <c r="Z1" s="15"/>
    </row>
    <row r="2">
      <c r="A2" s="1" t="s">
        <v>0</v>
      </c>
      <c r="B2" s="1" t="s">
        <v>1</v>
      </c>
      <c r="C2" s="1" t="s">
        <v>2</v>
      </c>
      <c r="D2" s="1" t="s">
        <v>3</v>
      </c>
      <c r="E2" s="1"/>
      <c r="F2" s="1"/>
      <c r="G2" s="2"/>
      <c r="H2" s="1"/>
      <c r="I2" s="1"/>
      <c r="J2" s="1"/>
      <c r="K2" s="1"/>
      <c r="L2" s="1"/>
      <c r="M2" s="1"/>
      <c r="N2" s="1"/>
      <c r="O2" s="1"/>
      <c r="P2" s="1"/>
      <c r="Q2" s="1"/>
      <c r="R2" s="2"/>
      <c r="S2" s="2"/>
      <c r="T2" s="2"/>
      <c r="U2" s="2"/>
      <c r="V2" s="2"/>
      <c r="W2" s="2"/>
      <c r="X2" s="2"/>
      <c r="Y2" s="2"/>
      <c r="Z2" s="2"/>
    </row>
    <row r="3">
      <c r="A3" s="3" t="n">
        <v>44067.0</v>
      </c>
      <c r="B3" s="1" t="s">
        <v>5</v>
      </c>
      <c r="C3" s="1" t="s">
        <v>128</v>
      </c>
      <c r="D3" s="25" t="s">
        <v>129</v>
      </c>
      <c r="E3" s="1"/>
      <c r="F3" s="1"/>
      <c r="G3" s="1"/>
      <c r="H3" s="1"/>
      <c r="I3" s="1"/>
      <c r="J3" s="1"/>
      <c r="K3" s="1"/>
      <c r="L3" s="1"/>
      <c r="M3" s="1"/>
      <c r="N3" s="1"/>
      <c r="O3" s="1"/>
      <c r="P3" s="1"/>
      <c r="Q3" s="1"/>
      <c r="R3" s="2"/>
      <c r="S3" s="2"/>
      <c r="T3" s="2"/>
      <c r="U3" s="2"/>
      <c r="V3" s="2"/>
      <c r="W3" s="2"/>
      <c r="X3" s="2"/>
      <c r="Y3" s="2"/>
      <c r="Z3" s="2"/>
    </row>
    <row r="4">
      <c r="A4" s="3" t="n">
        <v>44068.0</v>
      </c>
      <c r="B4" s="1" t="s">
        <v>7</v>
      </c>
      <c r="C4" s="1" t="s">
        <v>130</v>
      </c>
      <c r="D4" s="25" t="s">
        <v>129</v>
      </c>
      <c r="E4" s="1"/>
      <c r="F4" s="1"/>
      <c r="G4" s="1"/>
      <c r="H4" s="1"/>
      <c r="I4" s="1"/>
      <c r="J4" s="1"/>
      <c r="K4" s="1"/>
      <c r="L4" s="1"/>
      <c r="M4" s="1"/>
      <c r="N4" s="1"/>
      <c r="O4" s="1"/>
      <c r="P4" s="1"/>
      <c r="Q4" s="1"/>
      <c r="R4" s="2"/>
      <c r="S4" s="2"/>
      <c r="T4" s="2"/>
      <c r="U4" s="2"/>
      <c r="V4" s="2"/>
      <c r="W4" s="2"/>
      <c r="X4" s="2"/>
      <c r="Y4" s="2"/>
      <c r="Z4" s="2"/>
    </row>
    <row r="5">
      <c r="A5" s="3" t="n">
        <v>44069.0</v>
      </c>
      <c r="B5" s="1" t="s">
        <v>9</v>
      </c>
      <c r="C5" s="1" t="s">
        <v>131</v>
      </c>
      <c r="D5" s="25" t="s">
        <v>129</v>
      </c>
      <c r="E5" s="1"/>
      <c r="F5" s="1"/>
      <c r="G5" s="1"/>
      <c r="H5" s="2"/>
      <c r="I5" s="1"/>
      <c r="J5" s="1"/>
      <c r="K5" s="1"/>
      <c r="L5" s="1"/>
      <c r="M5" s="1"/>
      <c r="N5" s="1"/>
      <c r="O5" s="1"/>
      <c r="P5" s="1"/>
      <c r="Q5" s="1"/>
      <c r="R5" s="2"/>
      <c r="S5" s="2"/>
      <c r="T5" s="2"/>
      <c r="U5" s="2"/>
      <c r="V5" s="2"/>
      <c r="W5" s="2"/>
      <c r="X5" s="2"/>
      <c r="Y5" s="2"/>
      <c r="Z5" s="2"/>
    </row>
    <row r="6">
      <c r="A6" s="3" t="n">
        <v>44070.0</v>
      </c>
      <c r="B6" s="1" t="s">
        <v>12</v>
      </c>
      <c r="C6" s="1"/>
      <c r="D6" s="25" t="s">
        <v>132</v>
      </c>
      <c r="E6" s="1"/>
      <c r="F6" s="1"/>
      <c r="G6" s="1"/>
      <c r="H6" s="1"/>
      <c r="I6" s="1"/>
      <c r="J6" s="1"/>
      <c r="K6" s="1"/>
      <c r="L6" s="1"/>
      <c r="M6" s="1"/>
      <c r="N6" s="1"/>
      <c r="O6" s="1"/>
      <c r="P6" s="1"/>
      <c r="Q6" s="1"/>
      <c r="R6" s="2"/>
      <c r="S6" s="2"/>
      <c r="T6" s="2"/>
      <c r="U6" s="2"/>
      <c r="V6" s="2"/>
      <c r="W6" s="2"/>
      <c r="X6" s="2"/>
      <c r="Y6" s="2"/>
      <c r="Z6" s="2"/>
    </row>
    <row r="7">
      <c r="A7" s="3" t="n">
        <v>44071.0</v>
      </c>
      <c r="B7" s="1" t="s">
        <v>15</v>
      </c>
      <c r="C7" s="1"/>
      <c r="D7" s="25" t="s">
        <v>129</v>
      </c>
      <c r="E7" s="1"/>
      <c r="F7" s="1"/>
      <c r="G7" s="1"/>
      <c r="H7" s="1"/>
      <c r="I7" s="1"/>
      <c r="J7" s="1"/>
      <c r="K7" s="1"/>
      <c r="L7" s="1"/>
      <c r="M7" s="1"/>
      <c r="N7" s="1"/>
      <c r="O7" s="1"/>
      <c r="P7" s="1"/>
      <c r="Q7" s="1"/>
      <c r="R7" s="2"/>
      <c r="S7" s="2"/>
      <c r="T7" s="2"/>
      <c r="U7" s="2"/>
      <c r="V7" s="2"/>
      <c r="W7" s="2"/>
      <c r="X7" s="2"/>
      <c r="Y7" s="2"/>
      <c r="Z7" s="2"/>
    </row>
    <row r="8">
      <c r="A8" s="3" t="n">
        <v>44072.0</v>
      </c>
      <c r="B8" s="1" t="s">
        <v>16</v>
      </c>
      <c r="C8" s="1"/>
      <c r="D8" s="25" t="s">
        <v>129</v>
      </c>
      <c r="E8" s="1"/>
      <c r="F8" s="1"/>
      <c r="G8" s="1"/>
      <c r="H8" s="1"/>
      <c r="I8" s="1"/>
      <c r="J8" s="1"/>
      <c r="K8" s="1"/>
      <c r="L8" s="1"/>
      <c r="M8" s="1"/>
      <c r="N8" s="1"/>
      <c r="O8" s="1"/>
      <c r="P8" s="1"/>
      <c r="Q8" s="1"/>
      <c r="R8" s="2"/>
      <c r="S8" s="2"/>
      <c r="T8" s="2"/>
      <c r="U8" s="2"/>
      <c r="V8" s="2"/>
      <c r="W8" s="2"/>
      <c r="X8" s="2"/>
      <c r="Y8" s="2"/>
      <c r="Z8" s="2"/>
    </row>
    <row r="9">
      <c r="A9" s="3" t="n">
        <v>44073.0</v>
      </c>
      <c r="B9" s="1" t="s">
        <v>19</v>
      </c>
      <c r="C9" s="1"/>
      <c r="D9" s="25" t="s">
        <v>129</v>
      </c>
      <c r="E9" s="1"/>
      <c r="F9" s="1"/>
      <c r="G9" s="1"/>
      <c r="H9" s="1"/>
      <c r="I9" s="1"/>
      <c r="J9" s="1"/>
      <c r="K9" s="1"/>
      <c r="L9" s="1"/>
      <c r="M9" s="1"/>
      <c r="N9" s="1"/>
      <c r="O9" s="1"/>
      <c r="P9" s="1"/>
      <c r="Q9" s="1"/>
      <c r="R9" s="2"/>
      <c r="S9" s="2"/>
      <c r="T9" s="2"/>
      <c r="U9" s="2"/>
      <c r="V9" s="2"/>
      <c r="W9" s="2"/>
      <c r="X9" s="2"/>
      <c r="Y9" s="2"/>
      <c r="Z9" s="2"/>
    </row>
    <row r="10">
      <c r="A10" s="4"/>
      <c r="B10" s="31"/>
      <c r="C10" s="1"/>
      <c r="D10" s="1"/>
      <c r="E10" s="2"/>
      <c r="F10" s="5"/>
      <c r="G10" s="1"/>
      <c r="H10" s="1"/>
      <c r="I10" s="1"/>
      <c r="J10" s="1"/>
      <c r="K10" s="1"/>
      <c r="L10" s="1"/>
      <c r="M10" s="1"/>
      <c r="N10" s="1"/>
      <c r="O10" s="1"/>
      <c r="P10" s="1"/>
      <c r="Q10" s="1"/>
    </row>
    <row r="11">
      <c r="A11" s="6" t="s">
        <v>21</v>
      </c>
      <c r="B11" s="7" t="s">
        <v>133</v>
      </c>
      <c r="C11" s="7"/>
      <c r="D11" s="7"/>
      <c r="E11" s="32" t="s">
        <v>134</v>
      </c>
      <c r="F11" s="1"/>
      <c r="G11" s="1"/>
      <c r="H11" s="1"/>
      <c r="I11" s="1"/>
      <c r="J11" s="1"/>
      <c r="K11" s="1"/>
      <c r="L11" s="1"/>
      <c r="M11" s="1"/>
      <c r="N11" s="1"/>
      <c r="O11" s="1"/>
      <c r="P11" s="1"/>
      <c r="Q11" s="1"/>
    </row>
    <row r="12" customHeight="1" ht="39.0">
      <c r="A12" s="9" t="s">
        <v>135</v>
      </c>
      <c r="B12" s="10" t="s">
        <v>136</v>
      </c>
      <c r="C12" s="10"/>
      <c r="D12" s="10"/>
      <c r="E12" s="11" t="s">
        <v>137</v>
      </c>
      <c r="F12" s="1"/>
      <c r="G12" s="1"/>
      <c r="H12" s="1"/>
      <c r="I12" s="1"/>
      <c r="J12" s="1"/>
      <c r="K12" s="1"/>
      <c r="L12" s="1"/>
      <c r="M12" s="1"/>
      <c r="N12" s="1"/>
      <c r="O12" s="1"/>
      <c r="P12" s="1"/>
      <c r="Q12" s="1"/>
    </row>
    <row r="13" customHeight="1" ht="39.0">
      <c r="A13" s="4" t="s">
        <v>27</v>
      </c>
      <c r="B13" s="12" t="s">
        <v>28</v>
      </c>
      <c r="C13" s="13" t="s">
        <v>29</v>
      </c>
      <c r="D13" s="33"/>
      <c r="E13" s="33"/>
      <c r="F13" s="1"/>
      <c r="G13" s="1"/>
      <c r="H13" s="1"/>
      <c r="I13" s="1"/>
      <c r="J13" s="1"/>
      <c r="K13" s="1"/>
      <c r="L13" s="1"/>
      <c r="M13" s="1"/>
      <c r="N13" s="1"/>
      <c r="O13" s="1"/>
      <c r="P13" s="1"/>
      <c r="Q13" s="1"/>
    </row>
    <row r="14">
      <c r="A14" s="31"/>
      <c r="B14" s="33"/>
      <c r="C14" s="33"/>
      <c r="D14" s="33"/>
      <c r="E14" s="33"/>
      <c r="F14" s="1"/>
      <c r="G14" s="1"/>
      <c r="H14" s="1"/>
      <c r="I14" s="1"/>
      <c r="J14" s="1"/>
      <c r="K14" s="1"/>
      <c r="L14" s="1"/>
      <c r="M14" s="1"/>
      <c r="N14" s="1"/>
      <c r="O14" s="1"/>
      <c r="P14" s="1"/>
      <c r="Q14" s="1"/>
    </row>
    <row r="15">
      <c r="A15" s="14" t="s">
        <v>30</v>
      </c>
      <c r="B15" s="14"/>
      <c r="C15" s="34"/>
      <c r="D15" s="14"/>
      <c r="E15" s="14"/>
      <c r="F15" s="14"/>
      <c r="G15" s="14"/>
      <c r="H15" s="14"/>
      <c r="I15" s="14"/>
      <c r="J15" s="14"/>
      <c r="K15" s="14"/>
      <c r="L15" s="14"/>
      <c r="M15" s="14"/>
      <c r="N15" s="14"/>
      <c r="O15" s="14"/>
      <c r="P15" s="14"/>
      <c r="Q15" s="14"/>
      <c r="R15" s="14"/>
      <c r="S15" s="14"/>
      <c r="T15" s="14"/>
      <c r="U15" s="14"/>
      <c r="V15" s="14"/>
      <c r="W15" s="14"/>
      <c r="X15" s="14"/>
      <c r="Y15" s="5"/>
      <c r="Z15" s="5"/>
    </row>
    <row r="16">
      <c r="A16" s="4" t="s">
        <v>0</v>
      </c>
      <c r="B16" s="1" t="s">
        <v>1</v>
      </c>
      <c r="C16" s="1" t="s">
        <v>2</v>
      </c>
      <c r="D16" s="1" t="s">
        <v>3</v>
      </c>
      <c r="E16" s="5" t="s">
        <v>31</v>
      </c>
      <c r="F16" s="1" t="s">
        <v>32</v>
      </c>
      <c r="G16" s="1" t="s">
        <v>33</v>
      </c>
      <c r="H16" s="1" t="s">
        <v>34</v>
      </c>
      <c r="I16" s="1" t="s">
        <v>35</v>
      </c>
      <c r="J16" s="2"/>
      <c r="K16" s="2"/>
      <c r="L16" s="2"/>
      <c r="M16" s="2"/>
      <c r="N16" s="2"/>
      <c r="O16" s="2"/>
      <c r="P16" s="2"/>
      <c r="Q16" s="2"/>
    </row>
    <row r="17" customHeight="1" ht="26.0">
      <c r="A17" s="17" t="n">
        <v>43976.0</v>
      </c>
      <c r="B17" s="1" t="s">
        <v>5</v>
      </c>
      <c r="C17" s="2" t="s">
        <v>138</v>
      </c>
      <c r="D17" s="2" t="s">
        <v>139</v>
      </c>
      <c r="F17" s="15" t="s">
        <v>140</v>
      </c>
    </row>
    <row r="18">
      <c r="A18" s="17" t="n">
        <v>43977.0</v>
      </c>
      <c r="B18" s="1" t="s">
        <v>7</v>
      </c>
      <c r="C18" s="2" t="s">
        <v>141</v>
      </c>
      <c r="D18" s="1" t="s">
        <v>139</v>
      </c>
      <c r="G18" s="2" t="s">
        <v>142</v>
      </c>
    </row>
    <row r="19">
      <c r="A19" s="17" t="n">
        <v>43978.0</v>
      </c>
      <c r="B19" s="1" t="s">
        <v>9</v>
      </c>
      <c r="C19" s="2" t="s">
        <v>143</v>
      </c>
      <c r="D19" s="1" t="s">
        <v>139</v>
      </c>
      <c r="E19" s="2" t="s">
        <v>144</v>
      </c>
    </row>
    <row r="20">
      <c r="A20" s="17" t="n">
        <v>43979.0</v>
      </c>
      <c r="B20" s="1" t="s">
        <v>12</v>
      </c>
      <c r="C20" s="2" t="s">
        <v>145</v>
      </c>
      <c r="D20" s="1" t="s">
        <v>139</v>
      </c>
      <c r="E20" s="2" t="s">
        <v>146</v>
      </c>
      <c r="F20" s="2" t="s">
        <v>147</v>
      </c>
      <c r="G20" s="2" t="s">
        <v>148</v>
      </c>
      <c r="I20" s="2" t="s">
        <v>149</v>
      </c>
    </row>
    <row r="21">
      <c r="A21" s="17" t="n">
        <v>43980.0</v>
      </c>
      <c r="B21" s="1" t="s">
        <v>15</v>
      </c>
      <c r="C21" s="2" t="s">
        <v>145</v>
      </c>
      <c r="D21" s="1" t="s">
        <v>139</v>
      </c>
      <c r="E21" s="2" t="s">
        <v>150</v>
      </c>
      <c r="F21" s="2" t="s">
        <v>151</v>
      </c>
      <c r="I21" s="2" t="s">
        <v>152</v>
      </c>
    </row>
    <row r="22">
      <c r="A22" s="17" t="n">
        <v>43981.0</v>
      </c>
      <c r="B22" s="1" t="s">
        <v>16</v>
      </c>
      <c r="C22" s="2" t="s">
        <v>153</v>
      </c>
      <c r="D22" s="1" t="s">
        <v>154</v>
      </c>
      <c r="E22" s="2" t="s">
        <v>146</v>
      </c>
      <c r="G22" s="2" t="s">
        <v>155</v>
      </c>
    </row>
    <row r="23">
      <c r="A23" s="17" t="n">
        <v>43982.0</v>
      </c>
      <c r="B23" s="1" t="s">
        <v>19</v>
      </c>
      <c r="C23" s="22" t="n">
        <v>0.0</v>
      </c>
      <c r="D23" s="1" t="s">
        <v>139</v>
      </c>
    </row>
    <row r="24">
      <c r="C24" s="19" t="s">
        <v>63</v>
      </c>
      <c r="D24" s="18" t="s">
        <v>62</v>
      </c>
      <c r="E24" s="19" t="s">
        <v>63</v>
      </c>
      <c r="F24" s="19" t="s">
        <v>63</v>
      </c>
      <c r="G24" s="19" t="s">
        <v>63</v>
      </c>
      <c r="H24" s="35" t="s">
        <v>76</v>
      </c>
      <c r="I24" s="35" t="s">
        <v>76</v>
      </c>
    </row>
    <row r="25">
      <c r="A25" s="17" t="n">
        <v>43983.0</v>
      </c>
      <c r="B25" s="1" t="s">
        <v>5</v>
      </c>
      <c r="C25" s="2" t="s">
        <v>156</v>
      </c>
    </row>
    <row r="26">
      <c r="A26" s="17" t="n">
        <v>43984.0</v>
      </c>
      <c r="B26" s="1" t="s">
        <v>7</v>
      </c>
      <c r="C26" s="2" t="s">
        <v>156</v>
      </c>
      <c r="F26" s="2" t="s">
        <v>157</v>
      </c>
    </row>
    <row r="27">
      <c r="A27" s="17" t="n">
        <v>43985.0</v>
      </c>
      <c r="B27" s="1" t="s">
        <v>9</v>
      </c>
      <c r="C27" s="2" t="s">
        <v>156</v>
      </c>
      <c r="F27" s="2" t="s">
        <v>158</v>
      </c>
      <c r="H27" s="2" t="s">
        <v>159</v>
      </c>
    </row>
    <row r="28">
      <c r="A28" s="17" t="n">
        <v>43986.0</v>
      </c>
      <c r="B28" s="1" t="s">
        <v>12</v>
      </c>
      <c r="C28" s="2" t="s">
        <v>155</v>
      </c>
      <c r="F28" s="36" t="s">
        <v>160</v>
      </c>
      <c r="H28" s="2" t="s">
        <v>161</v>
      </c>
    </row>
    <row r="29">
      <c r="A29" s="17" t="n">
        <v>43987.0</v>
      </c>
      <c r="B29" s="1" t="s">
        <v>15</v>
      </c>
      <c r="C29" s="22" t="n">
        <v>0.0</v>
      </c>
    </row>
    <row r="30">
      <c r="A30" s="17" t="n">
        <v>43988.0</v>
      </c>
      <c r="B30" s="1" t="s">
        <v>16</v>
      </c>
      <c r="C30" s="2" t="s">
        <v>156</v>
      </c>
    </row>
    <row r="31">
      <c r="A31" s="17" t="n">
        <v>43989.0</v>
      </c>
      <c r="B31" s="1" t="s">
        <v>19</v>
      </c>
      <c r="C31" s="2" t="s">
        <v>156</v>
      </c>
      <c r="I31" s="2" t="s">
        <v>152</v>
      </c>
    </row>
    <row r="32">
      <c r="A32" s="17" t="n">
        <v>44032.0</v>
      </c>
      <c r="B32" s="1" t="s">
        <v>90</v>
      </c>
      <c r="C32" s="1" t="s">
        <v>162</v>
      </c>
      <c r="D32" s="1"/>
      <c r="E32" s="5"/>
      <c r="F32" s="1"/>
      <c r="G32" s="1"/>
      <c r="H32" s="1"/>
      <c r="I32" s="1"/>
      <c r="J32" s="1"/>
      <c r="K32" s="1"/>
      <c r="L32" s="1"/>
      <c r="M32" s="1"/>
      <c r="N32" s="1"/>
      <c r="O32" s="1"/>
      <c r="P32" s="1"/>
      <c r="Q32" s="1"/>
      <c r="R32" s="2"/>
      <c r="S32" s="2"/>
      <c r="T32" s="2"/>
      <c r="U32" s="2"/>
      <c r="V32" s="2"/>
      <c r="W32" s="2"/>
      <c r="X32" s="2"/>
      <c r="Y32" s="2"/>
      <c r="Z32" s="2"/>
    </row>
    <row r="33">
      <c r="A33" s="17" t="n">
        <v>44033.0</v>
      </c>
      <c r="B33" s="1" t="s">
        <v>92</v>
      </c>
      <c r="C33" s="1" t="s">
        <v>163</v>
      </c>
      <c r="D33" s="1"/>
      <c r="E33" s="5"/>
      <c r="F33" s="1"/>
      <c r="G33" s="1"/>
      <c r="H33" s="1"/>
      <c r="I33" s="1"/>
      <c r="J33" s="1"/>
      <c r="K33" s="1"/>
      <c r="L33" s="1"/>
      <c r="M33" s="1"/>
      <c r="N33" s="1"/>
      <c r="O33" s="1"/>
      <c r="P33" s="1"/>
      <c r="Q33" s="1"/>
      <c r="R33" s="2"/>
      <c r="S33" s="2"/>
      <c r="T33" s="2"/>
      <c r="U33" s="2"/>
      <c r="V33" s="2"/>
      <c r="W33" s="2"/>
      <c r="X33" s="2"/>
      <c r="Y33" s="2"/>
      <c r="Z33" s="2"/>
    </row>
    <row r="34">
      <c r="A34" s="17" t="n">
        <v>44034.0</v>
      </c>
      <c r="B34" s="1" t="s">
        <v>94</v>
      </c>
      <c r="C34" s="1" t="s">
        <v>164</v>
      </c>
      <c r="D34" s="1"/>
      <c r="E34" s="5"/>
      <c r="F34" s="1"/>
      <c r="G34" s="1"/>
      <c r="H34" s="1"/>
      <c r="I34" s="1"/>
      <c r="J34" s="1"/>
      <c r="K34" s="1"/>
      <c r="L34" s="1"/>
      <c r="M34" s="1"/>
      <c r="N34" s="1"/>
      <c r="O34" s="1"/>
      <c r="P34" s="1"/>
      <c r="Q34" s="1"/>
      <c r="R34" s="2"/>
      <c r="S34" s="2"/>
      <c r="T34" s="2"/>
      <c r="U34" s="2"/>
      <c r="V34" s="2"/>
      <c r="W34" s="2"/>
      <c r="X34" s="2"/>
      <c r="Y34" s="2"/>
      <c r="Z34" s="2"/>
    </row>
    <row r="35">
      <c r="A35" s="17" t="n">
        <v>44035.0</v>
      </c>
      <c r="B35" s="1" t="s">
        <v>96</v>
      </c>
      <c r="C35" s="1" t="s">
        <v>165</v>
      </c>
      <c r="D35" s="1"/>
      <c r="E35" s="5"/>
      <c r="F35" s="1"/>
      <c r="G35" s="1"/>
      <c r="H35" s="1"/>
      <c r="I35" s="1"/>
      <c r="J35" s="1"/>
      <c r="K35" s="1"/>
      <c r="L35" s="1"/>
      <c r="M35" s="1"/>
      <c r="N35" s="1"/>
      <c r="O35" s="1"/>
      <c r="P35" s="1"/>
      <c r="Q35" s="1"/>
      <c r="R35" s="2"/>
      <c r="S35" s="2"/>
      <c r="T35" s="2"/>
      <c r="U35" s="2"/>
      <c r="V35" s="2"/>
      <c r="W35" s="2"/>
      <c r="X35" s="2"/>
      <c r="Y35" s="2"/>
      <c r="Z35" s="2"/>
    </row>
    <row r="36">
      <c r="A36" s="17" t="n">
        <v>44036.0</v>
      </c>
      <c r="B36" s="1" t="s">
        <v>98</v>
      </c>
      <c r="C36" s="1" t="s">
        <v>166</v>
      </c>
      <c r="D36" s="1"/>
      <c r="E36" s="5"/>
      <c r="F36" s="1"/>
      <c r="G36" s="1"/>
      <c r="H36" s="1"/>
      <c r="I36" s="1"/>
      <c r="J36" s="1"/>
      <c r="K36" s="1"/>
      <c r="L36" s="1"/>
      <c r="M36" s="1"/>
      <c r="N36" s="1"/>
      <c r="O36" s="1"/>
      <c r="P36" s="1"/>
      <c r="Q36" s="1"/>
      <c r="R36" s="2"/>
      <c r="S36" s="2"/>
      <c r="T36" s="2"/>
      <c r="U36" s="2"/>
      <c r="V36" s="2"/>
      <c r="W36" s="2"/>
      <c r="X36" s="2"/>
      <c r="Y36" s="2"/>
      <c r="Z36" s="2"/>
    </row>
    <row r="37">
      <c r="A37" s="17" t="n">
        <v>44037.0</v>
      </c>
      <c r="B37" s="1" t="s">
        <v>100</v>
      </c>
      <c r="C37" s="1" t="s">
        <v>166</v>
      </c>
      <c r="D37" s="1"/>
      <c r="E37" s="5"/>
      <c r="F37" s="1"/>
      <c r="G37" s="1"/>
      <c r="H37" s="1"/>
      <c r="I37" s="1"/>
      <c r="J37" s="1"/>
      <c r="K37" s="1"/>
      <c r="L37" s="1"/>
      <c r="M37" s="1"/>
      <c r="N37" s="1"/>
      <c r="O37" s="1"/>
      <c r="P37" s="1"/>
      <c r="Q37" s="1"/>
      <c r="R37" s="2"/>
      <c r="S37" s="2"/>
      <c r="T37" s="2"/>
      <c r="U37" s="2"/>
      <c r="V37" s="2"/>
      <c r="W37" s="2"/>
      <c r="X37" s="2"/>
      <c r="Y37" s="2"/>
      <c r="Z37" s="2"/>
    </row>
    <row r="38">
      <c r="A38" s="17" t="n">
        <v>44038.0</v>
      </c>
      <c r="B38" s="1" t="s">
        <v>101</v>
      </c>
      <c r="C38" s="1" t="s">
        <v>166</v>
      </c>
      <c r="D38" s="1"/>
      <c r="E38" s="5"/>
      <c r="F38" s="1"/>
      <c r="G38" s="1"/>
      <c r="H38" s="1"/>
      <c r="I38" s="1"/>
      <c r="J38" s="1"/>
      <c r="K38" s="1"/>
      <c r="L38" s="1"/>
      <c r="M38" s="1"/>
      <c r="N38" s="1"/>
      <c r="O38" s="1"/>
      <c r="P38" s="1"/>
      <c r="Q38" s="1"/>
      <c r="R38" s="2"/>
      <c r="S38" s="2"/>
      <c r="T38" s="2"/>
      <c r="U38" s="2"/>
      <c r="V38" s="2"/>
      <c r="W38" s="2"/>
      <c r="X38" s="2"/>
      <c r="Y38" s="2"/>
      <c r="Z38" s="2"/>
    </row>
    <row r="39">
</row>
    <row r="40">
</row>
    <row r="41">
      <c r="A41" s="4" t="s">
        <v>0</v>
      </c>
      <c r="B41" s="1" t="s">
        <v>102</v>
      </c>
      <c r="C41" s="1" t="s">
        <v>2</v>
      </c>
      <c r="D41" s="1" t="s">
        <v>32</v>
      </c>
      <c r="E41" s="5" t="s">
        <v>4</v>
      </c>
      <c r="F41" s="1" t="s">
        <v>3</v>
      </c>
      <c r="G41" s="1" t="s">
        <v>34</v>
      </c>
      <c r="H41" s="1" t="s">
        <v>103</v>
      </c>
      <c r="I41" s="1" t="s">
        <v>31</v>
      </c>
      <c r="J41" s="1" t="s">
        <v>167</v>
      </c>
      <c r="K41" s="2"/>
      <c r="L41" s="2"/>
      <c r="M41" s="1"/>
      <c r="N41" s="1"/>
      <c r="O41" s="1"/>
      <c r="P41" s="1"/>
      <c r="Q41" s="1"/>
      <c r="R41" s="2"/>
      <c r="S41" s="2"/>
      <c r="T41" s="2"/>
      <c r="U41" s="2"/>
      <c r="V41" s="2"/>
      <c r="W41" s="2"/>
      <c r="X41" s="2"/>
      <c r="Y41" s="2"/>
      <c r="Z41" s="2"/>
    </row>
    <row r="42">
      <c r="A42" s="17" t="n">
        <v>44039.0</v>
      </c>
      <c r="B42" s="1" t="s">
        <v>90</v>
      </c>
      <c r="C42" s="25" t="s">
        <v>168</v>
      </c>
      <c r="D42" s="26"/>
      <c r="E42" s="25" t="s">
        <v>169</v>
      </c>
      <c r="F42" s="25" t="s">
        <v>129</v>
      </c>
      <c r="G42" s="26"/>
      <c r="H42" s="25" t="s">
        <v>170</v>
      </c>
      <c r="I42" s="25" t="s">
        <v>171</v>
      </c>
      <c r="J42" s="37"/>
      <c r="K42" s="2"/>
      <c r="L42" s="2"/>
      <c r="M42" s="1"/>
      <c r="N42" s="1"/>
      <c r="O42" s="1"/>
      <c r="P42" s="1"/>
      <c r="Q42" s="1"/>
      <c r="R42" s="1"/>
      <c r="S42" s="1"/>
      <c r="T42" s="1"/>
      <c r="U42" s="1"/>
      <c r="V42" s="1"/>
      <c r="W42" s="1"/>
      <c r="X42" s="1"/>
      <c r="Y42" s="1"/>
      <c r="Z42" s="1"/>
    </row>
    <row r="43">
      <c r="A43" s="17" t="n">
        <v>44040.0</v>
      </c>
      <c r="B43" s="1" t="s">
        <v>92</v>
      </c>
      <c r="C43" s="25" t="s">
        <v>131</v>
      </c>
      <c r="D43" s="26"/>
      <c r="E43" s="13"/>
      <c r="F43" s="25" t="s">
        <v>129</v>
      </c>
      <c r="G43" s="26"/>
      <c r="H43" s="25" t="s">
        <v>172</v>
      </c>
      <c r="I43" s="25" t="s">
        <v>173</v>
      </c>
      <c r="J43" s="37"/>
      <c r="K43" s="2"/>
      <c r="L43" s="2"/>
      <c r="M43" s="1"/>
      <c r="N43" s="1"/>
      <c r="O43" s="1"/>
      <c r="P43" s="1"/>
      <c r="Q43" s="1"/>
      <c r="R43" s="1"/>
      <c r="S43" s="1"/>
      <c r="T43" s="1"/>
      <c r="U43" s="1"/>
      <c r="V43" s="1"/>
      <c r="W43" s="1"/>
      <c r="X43" s="1"/>
      <c r="Y43" s="1"/>
      <c r="Z43" s="1"/>
    </row>
    <row r="44">
      <c r="A44" s="17" t="n">
        <v>44041.0</v>
      </c>
      <c r="B44" s="1" t="s">
        <v>94</v>
      </c>
      <c r="C44" s="25" t="s">
        <v>131</v>
      </c>
      <c r="D44" s="25" t="s">
        <v>174</v>
      </c>
      <c r="E44" s="13"/>
      <c r="F44" s="25" t="s">
        <v>129</v>
      </c>
      <c r="G44" s="26"/>
      <c r="H44" s="27" t="s">
        <v>175</v>
      </c>
      <c r="I44" s="26"/>
      <c r="J44" s="37"/>
      <c r="K44" s="2"/>
      <c r="L44" s="2"/>
      <c r="M44" s="1"/>
      <c r="N44" s="1"/>
      <c r="O44" s="1"/>
      <c r="P44" s="1"/>
      <c r="Q44" s="1"/>
      <c r="R44" s="1"/>
      <c r="S44" s="1"/>
      <c r="T44" s="1"/>
      <c r="U44" s="1"/>
      <c r="V44" s="1"/>
      <c r="W44" s="1"/>
      <c r="X44" s="1"/>
      <c r="Y44" s="1"/>
      <c r="Z44" s="1"/>
    </row>
    <row r="45">
      <c r="A45" s="17" t="n">
        <v>44042.0</v>
      </c>
      <c r="B45" s="1" t="s">
        <v>96</v>
      </c>
      <c r="C45" s="25" t="s">
        <v>176</v>
      </c>
      <c r="D45" s="26"/>
      <c r="E45" s="13"/>
      <c r="F45" s="25" t="s">
        <v>129</v>
      </c>
      <c r="G45" s="26"/>
      <c r="H45" s="26" t="s">
        <v>118</v>
      </c>
      <c r="I45" s="26"/>
      <c r="J45" s="37"/>
      <c r="K45" s="2"/>
      <c r="L45" s="2"/>
      <c r="M45" s="1"/>
      <c r="N45" s="1"/>
      <c r="O45" s="1"/>
      <c r="P45" s="1"/>
      <c r="Q45" s="1"/>
      <c r="R45" s="1"/>
      <c r="S45" s="1"/>
      <c r="T45" s="1"/>
      <c r="U45" s="1"/>
      <c r="V45" s="1"/>
      <c r="W45" s="1"/>
      <c r="X45" s="1"/>
      <c r="Y45" s="1"/>
      <c r="Z45" s="1"/>
    </row>
    <row r="46">
      <c r="A46" s="17" t="n">
        <v>44043.0</v>
      </c>
      <c r="B46" s="1" t="s">
        <v>98</v>
      </c>
      <c r="C46" s="25" t="s">
        <v>177</v>
      </c>
      <c r="D46" s="25" t="s">
        <v>178</v>
      </c>
      <c r="E46" s="13"/>
      <c r="F46" s="25" t="s">
        <v>179</v>
      </c>
      <c r="G46" s="26"/>
      <c r="H46" s="26" t="s">
        <v>118</v>
      </c>
      <c r="I46" s="26"/>
      <c r="J46" s="37"/>
      <c r="K46" s="2"/>
      <c r="L46" s="2"/>
      <c r="M46" s="1"/>
      <c r="N46" s="1"/>
      <c r="O46" s="1"/>
      <c r="P46" s="1"/>
      <c r="Q46" s="1"/>
      <c r="R46" s="1"/>
      <c r="S46" s="1"/>
      <c r="T46" s="1"/>
      <c r="U46" s="1"/>
      <c r="V46" s="1"/>
      <c r="W46" s="1"/>
      <c r="X46" s="1"/>
      <c r="Y46" s="1"/>
      <c r="Z46" s="1"/>
    </row>
    <row r="47">
      <c r="A47" s="17" t="n">
        <v>44044.0</v>
      </c>
      <c r="B47" s="1" t="s">
        <v>100</v>
      </c>
      <c r="C47" s="25" t="s">
        <v>156</v>
      </c>
      <c r="D47" s="26"/>
      <c r="E47" s="13"/>
      <c r="F47" s="25" t="s">
        <v>179</v>
      </c>
      <c r="G47" s="26"/>
      <c r="H47" s="38" t="s">
        <v>180</v>
      </c>
      <c r="I47" s="26"/>
      <c r="J47" s="26"/>
      <c r="K47" s="2"/>
      <c r="L47" s="2"/>
      <c r="M47" s="1"/>
      <c r="N47" s="1"/>
      <c r="O47" s="1"/>
      <c r="P47" s="1"/>
      <c r="Q47" s="1"/>
      <c r="R47" s="1"/>
      <c r="S47" s="1"/>
      <c r="T47" s="1"/>
      <c r="U47" s="1"/>
      <c r="V47" s="1"/>
      <c r="W47" s="1"/>
      <c r="X47" s="1"/>
      <c r="Y47" s="1"/>
      <c r="Z47" s="1"/>
    </row>
    <row r="48">
      <c r="A48" s="17" t="n">
        <v>44045.0</v>
      </c>
      <c r="B48" s="1" t="s">
        <v>101</v>
      </c>
      <c r="C48" s="26" t="s">
        <v>108</v>
      </c>
      <c r="D48" s="26"/>
      <c r="E48" s="13"/>
      <c r="F48" s="25" t="s">
        <v>181</v>
      </c>
      <c r="G48" s="26"/>
      <c r="H48" s="38" t="s">
        <v>152</v>
      </c>
      <c r="I48" s="26"/>
      <c r="J48" s="26"/>
      <c r="K48" s="2"/>
      <c r="L48" s="2"/>
      <c r="M48" s="1"/>
      <c r="N48" s="1"/>
      <c r="O48" s="1"/>
      <c r="P48" s="1"/>
      <c r="Q48" s="1"/>
      <c r="R48" s="1"/>
      <c r="S48" s="1"/>
      <c r="T48" s="1"/>
      <c r="U48" s="1"/>
      <c r="V48" s="1"/>
      <c r="W48" s="1"/>
      <c r="X48" s="1"/>
      <c r="Y48" s="1"/>
      <c r="Z48" s="1"/>
    </row>
    <row r="49">
      <c r="C49" s="18" t="s">
        <v>114</v>
      </c>
      <c r="D49" s="29" t="s">
        <v>115</v>
      </c>
      <c r="E49" s="29" t="s">
        <v>115</v>
      </c>
      <c r="F49" s="18" t="s">
        <v>114</v>
      </c>
      <c r="G49" s="29" t="s">
        <v>115</v>
      </c>
      <c r="H49" s="18" t="s">
        <v>114</v>
      </c>
      <c r="I49" s="29" t="s">
        <v>115</v>
      </c>
      <c r="J49" s="29" t="s">
        <v>115</v>
      </c>
    </row>
    <row r="50">
      <c r="C50" s="22" t="n">
        <v>2.0</v>
      </c>
      <c r="D50" s="22" t="n">
        <v>-0.2</v>
      </c>
      <c r="E50" s="22" t="n">
        <v>-0.6</v>
      </c>
      <c r="F50" s="22" t="n">
        <v>2.0</v>
      </c>
      <c r="G50" s="22" t="n">
        <v>-1.0</v>
      </c>
      <c r="H50" s="22" t="n">
        <v>2.0</v>
      </c>
      <c r="I50" s="22" t="n">
        <v>-0.2</v>
      </c>
      <c r="J50" s="22" t="n">
        <v>-1.0</v>
      </c>
    </row>
    <row r="51">
</row>
    <row r="52">
      <c r="A52" s="4" t="s">
        <v>0</v>
      </c>
      <c r="B52" s="1" t="s">
        <v>102</v>
      </c>
      <c r="C52" s="1" t="s">
        <v>2</v>
      </c>
      <c r="D52" s="1" t="s">
        <v>3</v>
      </c>
      <c r="E52" s="1" t="s">
        <v>4</v>
      </c>
      <c r="F52" s="1" t="s">
        <v>32</v>
      </c>
      <c r="G52" s="1" t="s">
        <v>103</v>
      </c>
      <c r="H52" s="1"/>
    </row>
    <row r="53" customHeight="1" ht="52.0">
      <c r="A53" s="17" t="n">
        <v>44046.0</v>
      </c>
      <c r="B53" s="1" t="s">
        <v>90</v>
      </c>
      <c r="C53" s="25" t="s">
        <v>182</v>
      </c>
      <c r="D53" s="25" t="s">
        <v>181</v>
      </c>
      <c r="E53" s="25" t="s">
        <v>183</v>
      </c>
      <c r="F53" s="12" t="s">
        <v>184</v>
      </c>
      <c r="G53" s="25" t="s">
        <v>146</v>
      </c>
      <c r="H53" s="1"/>
    </row>
    <row r="54">
      <c r="A54" s="17" t="n">
        <v>44047.0</v>
      </c>
      <c r="B54" s="1" t="s">
        <v>92</v>
      </c>
      <c r="C54" s="26" t="s">
        <v>108</v>
      </c>
      <c r="D54" s="25" t="s">
        <v>129</v>
      </c>
      <c r="E54" s="1" t="s">
        <v>185</v>
      </c>
      <c r="F54" s="26"/>
      <c r="G54" s="1" t="s">
        <v>118</v>
      </c>
      <c r="H54" s="1"/>
    </row>
    <row r="55">
      <c r="A55" s="17" t="n">
        <v>44048.0</v>
      </c>
      <c r="B55" s="1" t="s">
        <v>94</v>
      </c>
      <c r="C55" s="25" t="s">
        <v>186</v>
      </c>
      <c r="D55" s="25" t="s">
        <v>129</v>
      </c>
      <c r="E55" s="25" t="s">
        <v>187</v>
      </c>
      <c r="F55" s="26"/>
      <c r="G55" s="25" t="s">
        <v>188</v>
      </c>
      <c r="H55" s="1"/>
    </row>
    <row r="56" customHeight="1" ht="26.0">
      <c r="A56" s="17" t="n">
        <v>44049.0</v>
      </c>
      <c r="B56" s="1" t="s">
        <v>96</v>
      </c>
      <c r="C56" s="25" t="s">
        <v>156</v>
      </c>
      <c r="D56" s="25" t="s">
        <v>132</v>
      </c>
      <c r="E56" s="1" t="s">
        <v>185</v>
      </c>
      <c r="F56" s="12" t="s">
        <v>189</v>
      </c>
      <c r="G56" s="1" t="s">
        <v>152</v>
      </c>
      <c r="H56" s="1"/>
    </row>
    <row r="57" customHeight="1" ht="26.0">
      <c r="A57" s="17" t="n">
        <v>44050.0</v>
      </c>
      <c r="B57" s="1" t="s">
        <v>98</v>
      </c>
      <c r="C57" s="25" t="s">
        <v>190</v>
      </c>
      <c r="D57" s="25" t="s">
        <v>191</v>
      </c>
      <c r="E57" s="1" t="s">
        <v>185</v>
      </c>
      <c r="F57" s="12" t="s">
        <v>192</v>
      </c>
      <c r="G57" s="25" t="s">
        <v>193</v>
      </c>
      <c r="H57" s="1"/>
    </row>
    <row r="58">
      <c r="A58" s="17" t="n">
        <v>44051.0</v>
      </c>
      <c r="B58" s="1" t="s">
        <v>100</v>
      </c>
      <c r="C58" s="25" t="s">
        <v>194</v>
      </c>
      <c r="D58" s="25" t="s">
        <v>129</v>
      </c>
      <c r="E58" s="25" t="s">
        <v>146</v>
      </c>
      <c r="F58" s="25" t="s">
        <v>195</v>
      </c>
      <c r="G58" s="1" t="s">
        <v>155</v>
      </c>
      <c r="H58" s="1"/>
    </row>
    <row r="59">
      <c r="A59" s="17" t="n">
        <v>44052.0</v>
      </c>
      <c r="B59" s="1" t="s">
        <v>101</v>
      </c>
      <c r="C59" s="25" t="s">
        <v>196</v>
      </c>
      <c r="D59" s="25" t="s">
        <v>129</v>
      </c>
      <c r="E59" s="1" t="s">
        <v>185</v>
      </c>
      <c r="F59" s="1"/>
      <c r="G59" s="25" t="s">
        <v>197</v>
      </c>
      <c r="H59" s="1"/>
    </row>
    <row r="60">
</row>
    <row r="61">
      <c r="C61" s="18" t="s">
        <v>114</v>
      </c>
      <c r="D61" s="18" t="s">
        <v>114</v>
      </c>
      <c r="E61" s="18" t="s">
        <v>114</v>
      </c>
      <c r="F61" s="18" t="s">
        <v>114</v>
      </c>
      <c r="G61" s="18" t="s">
        <v>114</v>
      </c>
    </row>
    <row r="62">
      <c r="A62" s="2" t="s">
        <v>198</v>
      </c>
      <c r="C62" s="22" t="n">
        <v>2.0</v>
      </c>
      <c r="D62" s="22" t="n">
        <v>2.0</v>
      </c>
      <c r="E62" s="22" t="n">
        <v>2.0</v>
      </c>
      <c r="F62" s="22" t="n">
        <v>2.0</v>
      </c>
      <c r="G62" s="22" t="n">
        <v>2.0</v>
      </c>
    </row>
    <row r="63">
</row>
    <row r="64">
</row>
    <row r="65">
      <c r="A65" s="1" t="s">
        <v>0</v>
      </c>
      <c r="B65" s="1" t="s">
        <v>102</v>
      </c>
      <c r="C65" s="1" t="s">
        <v>2</v>
      </c>
      <c r="D65" s="1" t="s">
        <v>4</v>
      </c>
      <c r="E65" s="1" t="s">
        <v>32</v>
      </c>
      <c r="F65" s="1" t="s">
        <v>3</v>
      </c>
      <c r="G65" s="1" t="s">
        <v>103</v>
      </c>
    </row>
    <row r="66">
      <c r="A66" s="3" t="n">
        <v>44053.0</v>
      </c>
      <c r="B66" s="1" t="s">
        <v>90</v>
      </c>
      <c r="C66" s="12" t="s">
        <v>156</v>
      </c>
      <c r="D66" s="1" t="s">
        <v>118</v>
      </c>
      <c r="E66" s="26"/>
      <c r="F66" s="25" t="s">
        <v>129</v>
      </c>
      <c r="G66" s="25" t="s">
        <v>172</v>
      </c>
    </row>
    <row r="67">
      <c r="A67" s="3" t="n">
        <v>44054.0</v>
      </c>
      <c r="B67" s="1" t="s">
        <v>92</v>
      </c>
      <c r="C67" s="12" t="s">
        <v>128</v>
      </c>
      <c r="D67" s="1" t="s">
        <v>118</v>
      </c>
      <c r="E67" s="26"/>
      <c r="F67" s="25" t="s">
        <v>132</v>
      </c>
      <c r="G67" s="1" t="s">
        <v>118</v>
      </c>
    </row>
    <row r="68" customHeight="1" ht="26.0">
      <c r="A68" s="3" t="n">
        <v>44055.0</v>
      </c>
      <c r="B68" s="1" t="s">
        <v>94</v>
      </c>
      <c r="C68" s="12" t="s">
        <v>199</v>
      </c>
      <c r="D68" s="1" t="s">
        <v>200</v>
      </c>
      <c r="E68" s="25" t="s">
        <v>201</v>
      </c>
      <c r="F68" s="12" t="s">
        <v>202</v>
      </c>
      <c r="G68" s="1" t="s">
        <v>118</v>
      </c>
    </row>
    <row r="69">
      <c r="A69" s="3" t="n">
        <v>44056.0</v>
      </c>
      <c r="B69" s="1" t="s">
        <v>96</v>
      </c>
      <c r="C69" s="12" t="s">
        <v>128</v>
      </c>
      <c r="D69" s="1" t="s">
        <v>118</v>
      </c>
      <c r="E69" s="1"/>
      <c r="F69" s="25" t="s">
        <v>129</v>
      </c>
      <c r="G69" s="1" t="s">
        <v>203</v>
      </c>
    </row>
    <row r="70">
      <c r="A70" s="3" t="n">
        <v>44057.0</v>
      </c>
      <c r="B70" s="1" t="s">
        <v>98</v>
      </c>
      <c r="C70" s="12" t="s">
        <v>156</v>
      </c>
      <c r="D70" s="1" t="s">
        <v>118</v>
      </c>
      <c r="E70" s="1"/>
      <c r="F70" s="25" t="s">
        <v>129</v>
      </c>
      <c r="G70" s="1" t="s">
        <v>204</v>
      </c>
    </row>
    <row r="71" customHeight="1" ht="26.0">
      <c r="A71" s="3" t="n">
        <v>44058.0</v>
      </c>
      <c r="B71" s="1" t="s">
        <v>100</v>
      </c>
      <c r="C71" s="5" t="s">
        <v>205</v>
      </c>
      <c r="D71" s="1" t="s">
        <v>206</v>
      </c>
      <c r="E71" s="1"/>
      <c r="F71" s="25" t="s">
        <v>129</v>
      </c>
      <c r="G71" s="1" t="s">
        <v>207</v>
      </c>
    </row>
    <row r="72">
      <c r="A72" s="3" t="n">
        <v>44059.0</v>
      </c>
      <c r="B72" s="1" t="s">
        <v>101</v>
      </c>
      <c r="C72" s="5" t="s">
        <v>208</v>
      </c>
      <c r="D72" s="1" t="s">
        <v>118</v>
      </c>
      <c r="E72" s="1"/>
      <c r="F72" s="25" t="s">
        <v>129</v>
      </c>
      <c r="G72" s="1" t="s">
        <v>209</v>
      </c>
    </row>
    <row r="73">
</row>
    <row r="74">
</row>
    <row r="75">
      <c r="A75" s="1" t="s">
        <v>0</v>
      </c>
      <c r="B75" s="1" t="s">
        <v>102</v>
      </c>
      <c r="C75" s="1" t="s">
        <v>2</v>
      </c>
      <c r="D75" s="1" t="s">
        <v>3</v>
      </c>
      <c r="E75" s="1" t="s">
        <v>103</v>
      </c>
    </row>
    <row r="76" customHeight="1" ht="26.0">
      <c r="A76" s="3" t="n">
        <v>44060.0</v>
      </c>
      <c r="B76" s="5" t="s">
        <v>90</v>
      </c>
      <c r="C76" s="25" t="s">
        <v>176</v>
      </c>
      <c r="D76" s="25" t="s">
        <v>129</v>
      </c>
      <c r="E76" s="1" t="s">
        <v>118</v>
      </c>
    </row>
    <row r="77" customHeight="1" ht="26.0">
      <c r="A77" s="3" t="n">
        <v>44061.0</v>
      </c>
      <c r="B77" s="5" t="s">
        <v>92</v>
      </c>
      <c r="C77" s="25" t="s">
        <v>210</v>
      </c>
      <c r="D77" s="25" t="s">
        <v>129</v>
      </c>
      <c r="E77" s="1" t="s">
        <v>118</v>
      </c>
    </row>
    <row r="78" customHeight="1" ht="26.0">
      <c r="A78" s="3" t="n">
        <v>44062.0</v>
      </c>
      <c r="B78" s="5" t="s">
        <v>94</v>
      </c>
      <c r="C78" s="25" t="s">
        <v>211</v>
      </c>
      <c r="D78" s="25" t="s">
        <v>132</v>
      </c>
      <c r="E78" s="1" t="s">
        <v>212</v>
      </c>
    </row>
    <row r="79" customHeight="1" ht="26.0">
      <c r="A79" s="3" t="n">
        <v>44063.0</v>
      </c>
      <c r="B79" s="5" t="s">
        <v>96</v>
      </c>
      <c r="C79" s="25" t="s">
        <v>210</v>
      </c>
      <c r="D79" s="25" t="s">
        <v>129</v>
      </c>
      <c r="E79" s="1" t="s">
        <v>118</v>
      </c>
    </row>
    <row r="80" customHeight="1" ht="26.0">
      <c r="A80" s="3" t="n">
        <v>44064.0</v>
      </c>
      <c r="B80" s="5" t="s">
        <v>98</v>
      </c>
      <c r="C80" s="25" t="s">
        <v>210</v>
      </c>
      <c r="D80" s="25" t="s">
        <v>129</v>
      </c>
      <c r="E80" s="1" t="s">
        <v>213</v>
      </c>
    </row>
    <row r="81" customHeight="1" ht="26.0">
      <c r="A81" s="3" t="n">
        <v>44065.0</v>
      </c>
      <c r="B81" s="5" t="s">
        <v>100</v>
      </c>
      <c r="C81" s="25" t="s">
        <v>166</v>
      </c>
      <c r="D81" s="25" t="s">
        <v>129</v>
      </c>
      <c r="E81" s="1" t="s">
        <v>155</v>
      </c>
    </row>
    <row r="82" customHeight="1" ht="26.0">
      <c r="A82" s="3" t="n">
        <v>44066.0</v>
      </c>
      <c r="B82" s="5" t="s">
        <v>101</v>
      </c>
      <c r="C82" s="1"/>
      <c r="D82" s="25" t="s">
        <v>129</v>
      </c>
      <c r="E82" s="1"/>
    </row>
    <row r="83">
</row>
    <row r="84">
</row>
    <row r="85">
</row>
    <row r="86">
</row>
    <row r="87">
</row>
    <row r="88">
</row>
    <row r="89">
</row>
    <row r="90">
</row>
    <row r="91">
</row>
    <row r="92">
</row>
    <row r="93">
</row>
    <row r="94">
</row>
    <row r="95">
</row>
    <row r="96">
</row>
    <row r="97">
</row>
    <row r="98">
</row>
    <row r="99">
</row>
    <row r="100">
</row>
    <row r="101">
</row>
    <row r="102">
</row>
    <row r="103">
</row>
    <row r="104">
</row>
    <row r="105">
</row>
    <row r="106">
</row>
    <row r="107">
</row>
    <row r="108">
</row>
    <row r="109">
</row>
    <row r="110">
</row>
    <row r="111">
</row>
    <row r="112">
</row>
    <row r="113">
</row>
    <row r="114">
</row>
    <row r="115">
</row>
    <row r="116">
</row>
    <row r="117">
</row>
    <row r="118">
</row>
    <row r="119">
</row>
    <row r="120">
</row>
    <row r="121">
</row>
    <row r="122">
</row>
    <row r="123">
</row>
    <row r="124">
</row>
    <row r="125">
</row>
    <row r="126">
</row>
    <row r="127">
</row>
    <row r="128">
</row>
    <row r="129">
</row>
    <row r="130">
</row>
    <row r="131">
</row>
    <row r="132">
</row>
    <row r="133">
</row>
    <row r="134">
</row>
    <row r="135">
</row>
    <row r="136">
</row>
    <row r="137">
</row>
    <row r="138">
</row>
    <row r="139">
</row>
    <row r="140">
</row>
    <row r="141">
</row>
    <row r="142">
</row>
    <row r="143">
</row>
    <row r="144">
</row>
    <row r="145">
</row>
    <row r="146">
</row>
    <row r="147">
</row>
    <row r="148">
</row>
    <row r="149">
</row>
    <row r="150">
</row>
    <row r="151">
</row>
    <row r="152">
</row>
    <row r="153">
</row>
    <row r="154">
</row>
    <row r="155">
</row>
    <row r="156">
</row>
    <row r="157">
</row>
    <row r="158">
</row>
    <row r="159">
</row>
    <row r="160">
</row>
    <row r="161">
</row>
    <row r="162">
</row>
    <row r="163">
</row>
    <row r="164">
</row>
    <row r="165">
</row>
    <row r="166">
</row>
    <row r="167">
</row>
    <row r="168">
</row>
    <row r="169">
</row>
    <row r="170">
</row>
    <row r="171">
</row>
    <row r="172">
</row>
    <row r="173">
</row>
    <row r="174">
</row>
    <row r="175">
</row>
    <row r="176">
</row>
    <row r="177">
</row>
    <row r="178">
</row>
    <row r="179">
</row>
    <row r="180">
</row>
    <row r="181">
</row>
    <row r="182">
</row>
    <row r="183">
</row>
    <row r="184">
</row>
    <row r="185">
</row>
    <row r="186">
</row>
    <row r="187">
</row>
    <row r="188">
</row>
    <row r="189">
</row>
    <row r="190">
</row>
    <row r="191">
</row>
    <row r="192">
</row>
    <row r="193">
</row>
    <row r="194">
</row>
    <row r="195">
</row>
    <row r="196">
</row>
    <row r="197">
</row>
    <row r="198">
</row>
    <row r="199">
</row>
    <row r="200">
</row>
    <row r="201">
</row>
    <row r="202">
</row>
    <row r="203">
</row>
    <row r="204">
</row>
    <row r="205">
</row>
    <row r="206">
</row>
    <row r="207">
</row>
    <row r="208">
</row>
    <row r="209">
</row>
    <row r="210">
</row>
    <row r="211">
</row>
    <row r="212">
</row>
    <row r="213">
</row>
    <row r="214">
</row>
    <row r="215">
</row>
  </sheetData>
  <mergeCells>
    <mergeCell ref="B11:D11"/>
    <mergeCell ref="B12:D12"/>
    <mergeCell ref="A15:X15"/>
  </mergeCells>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0" baseColWidth="10"/>
  <cols>
    <col min="1" max="1" width="10.833333333333334" customWidth="true"/>
    <col min="2" max="2" width="6.166666666666667" customWidth="true"/>
    <col min="3" max="3" width="17.0" customWidth="true"/>
    <col min="4" max="4" width="19.166666666666668" customWidth="true"/>
    <col min="5" max="5" width="21.833333333333332" customWidth="true"/>
    <col min="6" max="6" width="22.333333333333332" customWidth="true"/>
    <col min="7" max="7" width="10.833333333333334" customWidth="true"/>
    <col min="8" max="8" width="10.833333333333334" customWidth="true"/>
    <col min="9" max="9" width="22.5" customWidth="true"/>
    <col min="10" max="10" width="24.333333333333332"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 min="25" max="25" width="10.833333333333334" customWidth="true"/>
    <col min="26" max="26" width="10.833333333333334" customWidth="true"/>
  </cols>
  <sheetData>
    <row r="1">
      <c r="A1" s="1" t="s">
        <v>0</v>
      </c>
      <c r="B1" s="1" t="s">
        <v>1</v>
      </c>
      <c r="C1" s="1" t="s">
        <v>2</v>
      </c>
      <c r="D1" s="1" t="s">
        <v>3</v>
      </c>
      <c r="E1" s="1" t="s">
        <v>4</v>
      </c>
      <c r="F1" s="1"/>
      <c r="G1" s="1"/>
      <c r="H1" s="1"/>
      <c r="I1" s="1"/>
      <c r="J1" s="1"/>
      <c r="K1" s="1"/>
      <c r="L1" s="1"/>
      <c r="M1" s="1"/>
      <c r="N1" s="1"/>
      <c r="O1" s="2"/>
      <c r="P1" s="2"/>
      <c r="Q1" s="2"/>
      <c r="R1" s="2"/>
      <c r="S1" s="2"/>
      <c r="T1" s="2"/>
      <c r="U1" s="2"/>
      <c r="V1" s="2"/>
      <c r="W1" s="2"/>
      <c r="X1" s="2"/>
      <c r="Y1" s="2"/>
      <c r="Z1" s="2"/>
    </row>
    <row r="2">
      <c r="A2" s="3" t="n">
        <v>44067.0</v>
      </c>
      <c r="B2" s="1" t="s">
        <v>5</v>
      </c>
      <c r="C2" s="1" t="s">
        <v>214</v>
      </c>
      <c r="D2" s="1" t="s">
        <v>215</v>
      </c>
      <c r="E2" s="1" t="s">
        <v>216</v>
      </c>
      <c r="F2" s="1"/>
      <c r="G2" s="1"/>
      <c r="H2" s="1"/>
      <c r="I2" s="1"/>
      <c r="J2" s="1"/>
      <c r="K2" s="1"/>
      <c r="L2" s="1"/>
      <c r="M2" s="1"/>
      <c r="N2" s="1"/>
      <c r="O2" s="2"/>
      <c r="P2" s="2"/>
      <c r="Q2" s="2"/>
      <c r="R2" s="2"/>
      <c r="S2" s="2"/>
      <c r="T2" s="2"/>
      <c r="U2" s="2"/>
      <c r="V2" s="2"/>
      <c r="W2" s="2"/>
      <c r="X2" s="2"/>
      <c r="Y2" s="2"/>
      <c r="Z2" s="2"/>
    </row>
    <row r="3">
      <c r="A3" s="3" t="n">
        <v>44068.0</v>
      </c>
      <c r="B3" s="1" t="s">
        <v>7</v>
      </c>
      <c r="C3" s="1" t="s">
        <v>217</v>
      </c>
      <c r="D3" s="1"/>
      <c r="E3" s="2"/>
      <c r="F3" s="1"/>
      <c r="G3" s="1"/>
      <c r="H3" s="1"/>
      <c r="I3" s="1"/>
      <c r="J3" s="1"/>
      <c r="K3" s="1"/>
      <c r="L3" s="1"/>
      <c r="M3" s="1"/>
      <c r="N3" s="1"/>
      <c r="O3" s="2"/>
      <c r="P3" s="2"/>
      <c r="Q3" s="2"/>
      <c r="R3" s="2"/>
      <c r="S3" s="2"/>
      <c r="T3" s="2"/>
      <c r="U3" s="2"/>
      <c r="V3" s="2"/>
      <c r="W3" s="2"/>
      <c r="X3" s="2"/>
      <c r="Y3" s="2"/>
      <c r="Z3" s="2"/>
    </row>
    <row r="4">
      <c r="A4" s="3" t="n">
        <v>44069.0</v>
      </c>
      <c r="B4" s="1" t="s">
        <v>9</v>
      </c>
      <c r="C4" s="1" t="s">
        <v>218</v>
      </c>
      <c r="D4" s="1" t="s">
        <v>215</v>
      </c>
      <c r="E4" s="1" t="s">
        <v>219</v>
      </c>
      <c r="F4" s="1"/>
      <c r="G4" s="1"/>
      <c r="H4" s="1"/>
      <c r="I4" s="1"/>
      <c r="J4" s="1"/>
      <c r="K4" s="1"/>
      <c r="L4" s="1"/>
      <c r="M4" s="1"/>
      <c r="N4" s="1"/>
      <c r="O4" s="2"/>
      <c r="P4" s="2"/>
      <c r="Q4" s="2"/>
      <c r="R4" s="2"/>
      <c r="S4" s="2"/>
      <c r="T4" s="2"/>
      <c r="U4" s="2"/>
      <c r="V4" s="2"/>
      <c r="W4" s="2"/>
      <c r="X4" s="2"/>
      <c r="Y4" s="2"/>
      <c r="Z4" s="2"/>
    </row>
    <row r="5">
      <c r="A5" s="3" t="n">
        <v>44070.0</v>
      </c>
      <c r="B5" s="1" t="s">
        <v>12</v>
      </c>
      <c r="C5" s="1"/>
      <c r="D5" s="2"/>
      <c r="E5" s="1" t="s">
        <v>220</v>
      </c>
      <c r="F5" s="1"/>
      <c r="G5" s="1"/>
      <c r="H5" s="1"/>
      <c r="I5" s="1"/>
      <c r="J5" s="1"/>
      <c r="K5" s="1"/>
      <c r="L5" s="1"/>
      <c r="M5" s="1"/>
      <c r="N5" s="1"/>
      <c r="O5" s="2"/>
      <c r="P5" s="2"/>
      <c r="Q5" s="2"/>
      <c r="R5" s="2"/>
      <c r="S5" s="2"/>
      <c r="T5" s="2"/>
      <c r="U5" s="2"/>
      <c r="V5" s="2"/>
      <c r="W5" s="2"/>
      <c r="X5" s="2"/>
      <c r="Y5" s="2"/>
      <c r="Z5" s="2"/>
    </row>
    <row r="6">
      <c r="A6" s="3" t="n">
        <v>44071.0</v>
      </c>
      <c r="B6" s="1" t="s">
        <v>15</v>
      </c>
      <c r="C6" s="1"/>
      <c r="D6" s="1"/>
      <c r="E6" s="1" t="s">
        <v>221</v>
      </c>
      <c r="F6" s="1"/>
      <c r="G6" s="1"/>
      <c r="H6" s="1"/>
      <c r="I6" s="1"/>
      <c r="J6" s="1"/>
      <c r="K6" s="1"/>
      <c r="L6" s="1"/>
      <c r="M6" s="1"/>
      <c r="N6" s="1"/>
      <c r="O6" s="2"/>
      <c r="P6" s="2"/>
      <c r="Q6" s="2"/>
      <c r="R6" s="2"/>
      <c r="S6" s="2"/>
      <c r="T6" s="2"/>
      <c r="U6" s="2"/>
      <c r="V6" s="2"/>
      <c r="W6" s="2"/>
      <c r="X6" s="2"/>
      <c r="Y6" s="2"/>
      <c r="Z6" s="2"/>
    </row>
    <row r="7">
      <c r="A7" s="3" t="n">
        <v>44072.0</v>
      </c>
      <c r="B7" s="1" t="s">
        <v>16</v>
      </c>
      <c r="C7" s="1"/>
      <c r="D7" s="1"/>
      <c r="E7" s="1"/>
      <c r="F7" s="1"/>
      <c r="G7" s="1"/>
      <c r="H7" s="1"/>
      <c r="I7" s="1"/>
      <c r="J7" s="1"/>
      <c r="K7" s="1"/>
      <c r="L7" s="1"/>
      <c r="M7" s="1"/>
      <c r="N7" s="1"/>
      <c r="O7" s="2"/>
      <c r="P7" s="2"/>
      <c r="Q7" s="2"/>
      <c r="R7" s="2"/>
      <c r="S7" s="2"/>
      <c r="T7" s="2"/>
      <c r="U7" s="2"/>
      <c r="V7" s="2"/>
      <c r="W7" s="2"/>
      <c r="X7" s="2"/>
      <c r="Y7" s="2"/>
      <c r="Z7" s="2"/>
    </row>
    <row r="8">
      <c r="A8" s="3" t="n">
        <v>44073.0</v>
      </c>
      <c r="B8" s="1" t="s">
        <v>19</v>
      </c>
      <c r="C8" s="1"/>
      <c r="D8" s="1"/>
      <c r="E8" s="2"/>
      <c r="F8" s="1"/>
      <c r="G8" s="1"/>
      <c r="H8" s="1"/>
      <c r="I8" s="1"/>
      <c r="J8" s="1"/>
      <c r="K8" s="1"/>
      <c r="L8" s="1"/>
      <c r="M8" s="1"/>
      <c r="N8" s="1"/>
      <c r="O8" s="2"/>
      <c r="P8" s="2"/>
      <c r="Q8" s="2"/>
      <c r="R8" s="2"/>
      <c r="S8" s="2"/>
      <c r="T8" s="2"/>
      <c r="U8" s="2"/>
      <c r="V8" s="2"/>
      <c r="W8" s="2"/>
      <c r="X8" s="2"/>
      <c r="Y8" s="2"/>
      <c r="Z8" s="2"/>
    </row>
    <row r="9">
      <c r="A9" s="39"/>
      <c r="B9" s="39"/>
      <c r="C9" s="40"/>
      <c r="D9" s="40"/>
      <c r="E9" s="40"/>
      <c r="F9" s="40"/>
      <c r="G9" s="40"/>
      <c r="H9" s="40"/>
      <c r="I9" s="40"/>
      <c r="J9" s="40"/>
      <c r="K9" s="39"/>
      <c r="L9" s="39"/>
      <c r="M9" s="39"/>
      <c r="N9" s="39"/>
      <c r="O9" s="41"/>
      <c r="P9" s="41"/>
      <c r="Q9" s="41"/>
      <c r="R9" s="41"/>
      <c r="S9" s="41"/>
      <c r="T9" s="41"/>
      <c r="U9" s="41"/>
      <c r="V9" s="41"/>
      <c r="W9" s="41"/>
      <c r="X9" s="41"/>
      <c r="Y9" s="41"/>
      <c r="Z9" s="41"/>
    </row>
    <row r="10">
      <c r="A10" s="42" t="s">
        <v>21</v>
      </c>
      <c r="B10" s="43" t="s">
        <v>222</v>
      </c>
      <c r="C10" s="44" t="s">
        <v>134</v>
      </c>
      <c r="D10" s="39"/>
      <c r="E10" s="40"/>
      <c r="F10" s="40"/>
      <c r="G10" s="40"/>
      <c r="H10" s="40"/>
      <c r="I10" s="40"/>
      <c r="J10" s="40"/>
      <c r="K10" s="39"/>
      <c r="L10" s="39"/>
      <c r="M10" s="39"/>
      <c r="N10" s="39"/>
      <c r="O10" s="41"/>
      <c r="P10" s="41"/>
      <c r="Q10" s="41"/>
      <c r="R10" s="41"/>
      <c r="S10" s="41"/>
      <c r="T10" s="41"/>
      <c r="U10" s="41"/>
      <c r="V10" s="41"/>
      <c r="W10" s="41"/>
      <c r="X10" s="41"/>
      <c r="Y10" s="41"/>
      <c r="Z10" s="41"/>
    </row>
    <row r="11" customHeight="1" ht="39.0">
      <c r="A11" s="45" t="s">
        <v>223</v>
      </c>
      <c r="B11" s="46" t="s">
        <v>224</v>
      </c>
      <c r="C11" s="47" t="s">
        <v>137</v>
      </c>
      <c r="D11" s="41"/>
      <c r="E11" s="40"/>
      <c r="F11" s="1"/>
      <c r="G11" s="40"/>
      <c r="H11" s="40"/>
      <c r="I11" s="40"/>
      <c r="J11" s="40"/>
      <c r="K11" s="39"/>
      <c r="L11" s="39"/>
      <c r="M11" s="39"/>
      <c r="N11" s="39"/>
      <c r="O11" s="41"/>
      <c r="P11" s="41"/>
      <c r="Q11" s="41"/>
      <c r="R11" s="41"/>
      <c r="S11" s="41"/>
      <c r="T11" s="41"/>
      <c r="U11" s="41"/>
      <c r="V11" s="41"/>
      <c r="W11" s="41"/>
      <c r="X11" s="41"/>
      <c r="Y11" s="41"/>
      <c r="Z11" s="41"/>
    </row>
    <row r="12">
      <c r="A12" s="39"/>
      <c r="B12" s="39"/>
      <c r="C12" s="40"/>
      <c r="D12" s="40"/>
      <c r="E12" s="40"/>
      <c r="F12" s="40"/>
      <c r="G12" s="40"/>
      <c r="H12" s="40"/>
      <c r="I12" s="40"/>
      <c r="J12" s="40"/>
      <c r="K12" s="39"/>
      <c r="L12" s="39"/>
      <c r="M12" s="39"/>
      <c r="N12" s="39"/>
      <c r="O12" s="41"/>
      <c r="P12" s="41"/>
      <c r="Q12" s="41"/>
      <c r="R12" s="41"/>
      <c r="S12" s="41"/>
      <c r="T12" s="41"/>
      <c r="U12" s="41"/>
      <c r="V12" s="41"/>
      <c r="W12" s="41"/>
      <c r="X12" s="41"/>
      <c r="Y12" s="41"/>
      <c r="Z12" s="41"/>
    </row>
    <row r="13">
      <c r="A13" s="39"/>
      <c r="B13" s="39"/>
      <c r="C13" s="40"/>
      <c r="D13" s="40"/>
      <c r="E13" s="40"/>
      <c r="F13" s="40"/>
      <c r="G13" s="40"/>
      <c r="H13" s="40"/>
      <c r="I13" s="40"/>
      <c r="J13" s="40"/>
      <c r="K13" s="39"/>
      <c r="L13" s="39"/>
      <c r="M13" s="39"/>
      <c r="N13" s="39"/>
      <c r="O13" s="41"/>
      <c r="P13" s="41"/>
      <c r="Q13" s="41"/>
      <c r="R13" s="41"/>
      <c r="S13" s="41"/>
      <c r="T13" s="41"/>
      <c r="U13" s="41"/>
      <c r="V13" s="41"/>
      <c r="W13" s="41"/>
      <c r="X13" s="41"/>
      <c r="Y13" s="41"/>
      <c r="Z13" s="41"/>
    </row>
    <row r="14">
      <c r="A14" s="39"/>
      <c r="B14" s="39"/>
      <c r="C14" s="40"/>
      <c r="D14" s="40"/>
      <c r="E14" s="40"/>
      <c r="F14" s="40"/>
      <c r="G14" s="40"/>
      <c r="H14" s="40"/>
      <c r="I14" s="40"/>
      <c r="J14" s="40"/>
      <c r="K14" s="39"/>
      <c r="L14" s="39"/>
      <c r="M14" s="39"/>
      <c r="N14" s="39"/>
      <c r="O14" s="41"/>
      <c r="P14" s="41"/>
      <c r="Q14" s="41"/>
      <c r="R14" s="41"/>
      <c r="S14" s="41"/>
      <c r="T14" s="41"/>
      <c r="U14" s="41"/>
      <c r="V14" s="41"/>
      <c r="W14" s="41"/>
      <c r="X14" s="41"/>
      <c r="Y14" s="41"/>
      <c r="Z14" s="41"/>
    </row>
    <row r="15">
      <c r="A15" s="39"/>
      <c r="B15" s="39"/>
      <c r="C15" s="40"/>
      <c r="D15" s="40"/>
      <c r="E15" s="40"/>
      <c r="F15" s="40"/>
      <c r="G15" s="40"/>
      <c r="H15" s="40"/>
      <c r="I15" s="40"/>
      <c r="J15" s="40"/>
      <c r="K15" s="39"/>
      <c r="L15" s="39"/>
      <c r="M15" s="39"/>
      <c r="N15" s="39"/>
      <c r="O15" s="41"/>
      <c r="P15" s="41"/>
      <c r="Q15" s="41"/>
      <c r="R15" s="41"/>
      <c r="S15" s="41"/>
      <c r="T15" s="41"/>
      <c r="U15" s="41"/>
      <c r="V15" s="41"/>
      <c r="W15" s="41"/>
      <c r="X15" s="41"/>
      <c r="Y15" s="41"/>
      <c r="Z15" s="41"/>
    </row>
    <row r="16">
      <c r="A16" s="39"/>
      <c r="B16" s="40"/>
      <c r="C16" s="40"/>
      <c r="D16" s="40"/>
      <c r="E16" s="40"/>
      <c r="F16" s="40"/>
      <c r="G16" s="40"/>
      <c r="H16" s="40"/>
      <c r="I16" s="40"/>
      <c r="J16" s="40"/>
      <c r="K16" s="39"/>
      <c r="L16" s="39"/>
      <c r="M16" s="39"/>
      <c r="N16" s="39"/>
      <c r="O16" s="41"/>
      <c r="P16" s="41"/>
      <c r="Q16" s="41"/>
      <c r="R16" s="41"/>
      <c r="S16" s="41"/>
      <c r="T16" s="41"/>
      <c r="U16" s="41"/>
      <c r="V16" s="41"/>
      <c r="W16" s="41"/>
      <c r="X16" s="41"/>
      <c r="Y16" s="41"/>
      <c r="Z16" s="41"/>
    </row>
    <row r="17">
      <c r="A17" s="39"/>
      <c r="B17" s="40"/>
      <c r="C17" s="40"/>
      <c r="D17" s="40"/>
      <c r="E17" s="40"/>
      <c r="F17" s="40"/>
      <c r="G17" s="40"/>
      <c r="H17" s="40"/>
      <c r="I17" s="40"/>
      <c r="J17" s="40"/>
      <c r="K17" s="39"/>
      <c r="L17" s="39"/>
      <c r="M17" s="39"/>
      <c r="N17" s="39"/>
      <c r="O17" s="41"/>
      <c r="P17" s="41"/>
      <c r="Q17" s="41"/>
      <c r="R17" s="41"/>
      <c r="S17" s="41"/>
      <c r="T17" s="41"/>
      <c r="U17" s="41"/>
      <c r="V17" s="41"/>
      <c r="W17" s="41"/>
      <c r="X17" s="41"/>
      <c r="Y17" s="41"/>
      <c r="Z17" s="41"/>
    </row>
    <row r="18">
      <c r="A18" s="39"/>
      <c r="B18" s="40"/>
      <c r="C18" s="40"/>
      <c r="D18" s="40"/>
      <c r="E18" s="40"/>
      <c r="F18" s="40"/>
      <c r="G18" s="40"/>
      <c r="H18" s="40"/>
      <c r="I18" s="40"/>
      <c r="J18" s="40"/>
      <c r="K18" s="39"/>
      <c r="L18" s="39"/>
      <c r="M18" s="39"/>
      <c r="N18" s="39"/>
      <c r="O18" s="41"/>
      <c r="P18" s="41"/>
      <c r="Q18" s="41"/>
      <c r="R18" s="41"/>
      <c r="S18" s="41"/>
      <c r="T18" s="41"/>
      <c r="U18" s="41"/>
      <c r="V18" s="41"/>
      <c r="W18" s="41"/>
      <c r="X18" s="41"/>
      <c r="Y18" s="41"/>
      <c r="Z18" s="41"/>
    </row>
    <row r="19" customHeight="1" ht="26.0">
      <c r="A19" s="48" t="s">
        <v>27</v>
      </c>
      <c r="B19" s="49" t="s">
        <v>28</v>
      </c>
      <c r="C19" s="50" t="s">
        <v>29</v>
      </c>
      <c r="D19" s="40"/>
      <c r="E19" s="40"/>
      <c r="F19" s="40"/>
      <c r="G19" s="40"/>
      <c r="H19" s="40"/>
      <c r="I19" s="40"/>
      <c r="J19" s="40"/>
      <c r="K19" s="39"/>
      <c r="L19" s="39"/>
      <c r="M19" s="39"/>
      <c r="N19" s="39"/>
      <c r="O19" s="41"/>
      <c r="P19" s="41"/>
      <c r="Q19" s="41"/>
      <c r="R19" s="41"/>
      <c r="S19" s="41"/>
      <c r="T19" s="41"/>
      <c r="U19" s="41"/>
      <c r="V19" s="41"/>
      <c r="W19" s="41"/>
      <c r="X19" s="41"/>
      <c r="Y19" s="41"/>
      <c r="Z19" s="41"/>
    </row>
    <row r="20">
      <c r="A20" s="51" t="s">
        <v>30</v>
      </c>
      <c r="B20" s="51"/>
      <c r="C20" s="52"/>
      <c r="D20" s="51"/>
      <c r="E20" s="51"/>
      <c r="F20" s="51"/>
      <c r="G20" s="51"/>
      <c r="H20" s="51"/>
      <c r="I20" s="51"/>
      <c r="J20" s="51"/>
      <c r="K20" s="51"/>
      <c r="L20" s="51"/>
      <c r="M20" s="51"/>
      <c r="N20" s="51"/>
      <c r="O20" s="51"/>
      <c r="P20" s="51"/>
      <c r="Q20" s="51"/>
      <c r="R20" s="51"/>
      <c r="S20" s="51"/>
      <c r="T20" s="51"/>
      <c r="U20" s="51"/>
      <c r="V20" s="51"/>
      <c r="W20" s="51"/>
      <c r="X20" s="51"/>
      <c r="Y20" s="40"/>
      <c r="Z20" s="40"/>
    </row>
    <row r="21" customHeight="1" ht="91.0">
      <c r="A21" s="41" t="s">
        <v>225</v>
      </c>
      <c r="B21" s="40" t="s">
        <v>226</v>
      </c>
      <c r="C21" s="53" t="s">
        <v>2</v>
      </c>
      <c r="D21" s="53" t="s">
        <v>3</v>
      </c>
      <c r="E21" s="40" t="s">
        <v>31</v>
      </c>
      <c r="F21" s="40" t="s">
        <v>227</v>
      </c>
      <c r="G21" s="40" t="s">
        <v>32</v>
      </c>
      <c r="H21" s="40" t="s">
        <v>33</v>
      </c>
      <c r="I21" s="53" t="s">
        <v>4</v>
      </c>
      <c r="J21" s="40" t="s">
        <v>35</v>
      </c>
      <c r="K21" s="41" t="s">
        <v>228</v>
      </c>
      <c r="L21" s="41" t="s">
        <v>229</v>
      </c>
      <c r="M21" s="41" t="s">
        <v>230</v>
      </c>
      <c r="N21" s="41" t="s">
        <v>36</v>
      </c>
      <c r="O21" s="41"/>
      <c r="P21" s="41"/>
      <c r="Q21" s="41"/>
      <c r="R21" s="41"/>
      <c r="S21" s="41"/>
      <c r="T21" s="41"/>
      <c r="U21" s="41"/>
      <c r="V21" s="41"/>
      <c r="W21" s="41"/>
      <c r="X21" s="41"/>
      <c r="Y21" s="41"/>
      <c r="Z21" s="41"/>
    </row>
    <row r="22" customHeight="1" ht="39.0">
      <c r="A22" s="54" t="n">
        <v>43983.0</v>
      </c>
      <c r="B22" s="39" t="s">
        <v>5</v>
      </c>
      <c r="C22" s="55" t="s">
        <v>231</v>
      </c>
      <c r="D22" s="55"/>
      <c r="E22" s="56" t="s">
        <v>232</v>
      </c>
      <c r="F22" s="55" t="s">
        <v>233</v>
      </c>
      <c r="G22" s="55"/>
      <c r="H22" s="56" t="s">
        <v>234</v>
      </c>
      <c r="I22" s="55" t="s">
        <v>235</v>
      </c>
      <c r="J22" s="55" t="s">
        <v>236</v>
      </c>
      <c r="K22" s="57"/>
      <c r="L22" s="41"/>
      <c r="M22" s="41"/>
      <c r="N22" s="41"/>
      <c r="O22" s="41"/>
      <c r="P22" s="41"/>
      <c r="Q22" s="41"/>
      <c r="R22" s="41"/>
      <c r="S22" s="41"/>
      <c r="T22" s="41"/>
      <c r="U22" s="41"/>
      <c r="V22" s="41"/>
      <c r="W22" s="41"/>
      <c r="X22" s="41"/>
      <c r="Y22" s="41"/>
      <c r="Z22" s="41"/>
    </row>
    <row r="23" customHeight="1" ht="65.0">
      <c r="A23" s="54" t="n">
        <v>43984.0</v>
      </c>
      <c r="B23" s="39" t="s">
        <v>7</v>
      </c>
      <c r="C23" s="56" t="s">
        <v>237</v>
      </c>
      <c r="D23" s="56" t="s">
        <v>238</v>
      </c>
      <c r="E23" s="56" t="s">
        <v>239</v>
      </c>
      <c r="F23" s="56" t="s">
        <v>240</v>
      </c>
      <c r="G23" s="56" t="s">
        <v>241</v>
      </c>
      <c r="H23" s="55"/>
      <c r="I23" s="55"/>
      <c r="J23" s="55" t="s">
        <v>242</v>
      </c>
      <c r="K23" s="56" t="s">
        <v>243</v>
      </c>
      <c r="L23" s="41"/>
      <c r="M23" s="41"/>
      <c r="N23" s="41"/>
      <c r="O23" s="41"/>
      <c r="P23" s="41"/>
      <c r="Q23" s="41"/>
      <c r="R23" s="41"/>
      <c r="S23" s="41"/>
      <c r="T23" s="41"/>
      <c r="U23" s="41"/>
      <c r="V23" s="41"/>
      <c r="W23" s="41"/>
      <c r="X23" s="41"/>
      <c r="Y23" s="41"/>
      <c r="Z23" s="41"/>
    </row>
    <row r="24" customHeight="1" ht="39.0">
      <c r="A24" s="54" t="n">
        <v>43985.0</v>
      </c>
      <c r="B24" s="39" t="s">
        <v>9</v>
      </c>
      <c r="C24" s="56" t="s">
        <v>244</v>
      </c>
      <c r="D24" s="55"/>
      <c r="E24" s="56" t="s">
        <v>239</v>
      </c>
      <c r="F24" s="55"/>
      <c r="G24" s="56" t="s">
        <v>245</v>
      </c>
      <c r="H24" s="56" t="s">
        <v>246</v>
      </c>
      <c r="I24" s="56" t="s">
        <v>247</v>
      </c>
      <c r="J24" s="55" t="s">
        <v>248</v>
      </c>
      <c r="K24" s="41"/>
      <c r="L24" s="41"/>
      <c r="M24" s="41"/>
      <c r="N24" s="41"/>
      <c r="O24" s="41"/>
      <c r="P24" s="41"/>
      <c r="Q24" s="41"/>
      <c r="R24" s="41"/>
      <c r="S24" s="41"/>
      <c r="T24" s="41"/>
      <c r="U24" s="41"/>
      <c r="V24" s="41"/>
      <c r="W24" s="41"/>
      <c r="X24" s="41"/>
      <c r="Y24" s="41"/>
      <c r="Z24" s="41"/>
    </row>
    <row r="25" customHeight="1" ht="26.0">
      <c r="A25" s="54" t="n">
        <v>43986.0</v>
      </c>
      <c r="B25" s="39" t="s">
        <v>12</v>
      </c>
      <c r="C25" s="58" t="s">
        <v>249</v>
      </c>
      <c r="D25" s="58" t="s">
        <v>250</v>
      </c>
      <c r="E25" s="58" t="s">
        <v>251</v>
      </c>
      <c r="F25" s="55"/>
      <c r="G25" s="58" t="s">
        <v>252</v>
      </c>
      <c r="H25" s="55"/>
      <c r="I25" s="58" t="s">
        <v>253</v>
      </c>
      <c r="J25" s="58" t="s">
        <v>254</v>
      </c>
      <c r="K25" s="59" t="s">
        <v>255</v>
      </c>
      <c r="L25" s="41"/>
      <c r="M25" s="41"/>
      <c r="N25" s="41"/>
      <c r="O25" s="41"/>
      <c r="P25" s="41"/>
      <c r="Q25" s="41"/>
      <c r="R25" s="41"/>
      <c r="S25" s="41"/>
      <c r="T25" s="41"/>
      <c r="U25" s="41"/>
      <c r="V25" s="41"/>
      <c r="W25" s="41"/>
      <c r="X25" s="41"/>
      <c r="Y25" s="41"/>
      <c r="Z25" s="41"/>
    </row>
    <row r="26">
      <c r="A26" s="54" t="n">
        <v>43987.0</v>
      </c>
      <c r="B26" s="39" t="s">
        <v>15</v>
      </c>
      <c r="C26" s="53"/>
      <c r="D26" s="50"/>
      <c r="E26" s="55" t="s">
        <v>256</v>
      </c>
      <c r="F26" s="55"/>
      <c r="G26" s="55"/>
      <c r="H26" s="58" t="s">
        <v>257</v>
      </c>
      <c r="I26" s="58" t="s">
        <v>258</v>
      </c>
      <c r="J26" s="53"/>
      <c r="K26" s="59" t="s">
        <v>259</v>
      </c>
      <c r="L26" s="41"/>
      <c r="M26" s="41"/>
      <c r="N26" s="41"/>
      <c r="O26" s="41"/>
      <c r="P26" s="41"/>
      <c r="Q26" s="41"/>
      <c r="R26" s="41"/>
      <c r="S26" s="41"/>
      <c r="T26" s="41"/>
      <c r="U26" s="41"/>
      <c r="V26" s="41"/>
      <c r="W26" s="41"/>
      <c r="X26" s="41"/>
      <c r="Y26" s="41"/>
      <c r="Z26" s="41"/>
    </row>
    <row r="27" customHeight="1" ht="26.0">
      <c r="A27" s="54" t="n">
        <v>43988.0</v>
      </c>
      <c r="B27" s="39" t="s">
        <v>16</v>
      </c>
      <c r="C27" s="58" t="s">
        <v>260</v>
      </c>
      <c r="D27" s="49" t="s">
        <v>261</v>
      </c>
      <c r="E27" s="58" t="s">
        <v>239</v>
      </c>
      <c r="F27" s="55"/>
      <c r="G27" s="55"/>
      <c r="H27" s="55"/>
      <c r="I27" s="58" t="s">
        <v>258</v>
      </c>
      <c r="J27" s="58" t="s">
        <v>262</v>
      </c>
      <c r="K27" s="41"/>
      <c r="L27" s="41"/>
      <c r="M27" s="41"/>
      <c r="N27" s="41"/>
      <c r="O27" s="41"/>
      <c r="P27" s="41"/>
      <c r="Q27" s="41"/>
      <c r="R27" s="41"/>
      <c r="S27" s="41"/>
      <c r="T27" s="41"/>
      <c r="U27" s="41"/>
      <c r="V27" s="41"/>
      <c r="W27" s="41"/>
      <c r="X27" s="41"/>
      <c r="Y27" s="41"/>
      <c r="Z27" s="41"/>
    </row>
    <row r="28" customHeight="1" ht="26.0">
      <c r="A28" s="54" t="n">
        <v>43989.0</v>
      </c>
      <c r="B28" s="39" t="s">
        <v>19</v>
      </c>
      <c r="C28" s="58" t="s">
        <v>263</v>
      </c>
      <c r="D28" s="55"/>
      <c r="E28" s="55"/>
      <c r="F28" s="55"/>
      <c r="G28" s="55"/>
      <c r="H28" s="55"/>
      <c r="I28" s="55" t="s">
        <v>264</v>
      </c>
      <c r="J28" s="58" t="s">
        <v>265</v>
      </c>
      <c r="K28" s="41"/>
      <c r="L28" s="41"/>
      <c r="M28" s="41"/>
      <c r="N28" s="41"/>
      <c r="O28" s="41"/>
      <c r="P28" s="41"/>
      <c r="Q28" s="41"/>
      <c r="R28" s="41"/>
      <c r="S28" s="41"/>
      <c r="T28" s="41"/>
      <c r="U28" s="41"/>
      <c r="V28" s="41"/>
      <c r="W28" s="41"/>
      <c r="X28" s="41"/>
      <c r="Y28" s="41"/>
      <c r="Z28" s="41"/>
    </row>
    <row r="29">
      <c r="A29" s="41"/>
      <c r="B29" s="41"/>
      <c r="C29" s="60" t="s">
        <v>63</v>
      </c>
      <c r="D29" s="60" t="s">
        <v>63</v>
      </c>
      <c r="E29" s="60" t="s">
        <v>63</v>
      </c>
      <c r="F29" s="61" t="s">
        <v>266</v>
      </c>
      <c r="G29" s="60" t="s">
        <v>63</v>
      </c>
      <c r="H29" s="60" t="s">
        <v>63</v>
      </c>
      <c r="I29" s="60" t="s">
        <v>63</v>
      </c>
      <c r="J29" s="60" t="s">
        <v>63</v>
      </c>
      <c r="K29" s="60" t="s">
        <v>63</v>
      </c>
      <c r="L29" s="41"/>
      <c r="M29" s="41"/>
      <c r="N29" s="41"/>
      <c r="O29" s="41"/>
      <c r="P29" s="41"/>
      <c r="Q29" s="41"/>
      <c r="R29" s="41"/>
      <c r="S29" s="41"/>
      <c r="T29" s="41"/>
      <c r="U29" s="41"/>
      <c r="V29" s="41"/>
      <c r="W29" s="41"/>
      <c r="X29" s="41"/>
      <c r="Y29" s="41"/>
      <c r="Z29" s="41"/>
    </row>
    <row r="30" customHeight="1" ht="26.0">
      <c r="A30" s="54" t="n">
        <v>43990.0</v>
      </c>
      <c r="B30" s="39" t="s">
        <v>5</v>
      </c>
      <c r="C30" s="58" t="s">
        <v>267</v>
      </c>
      <c r="D30" s="55"/>
      <c r="E30" s="55" t="s">
        <v>268</v>
      </c>
      <c r="F30" s="55"/>
      <c r="G30" s="55"/>
      <c r="H30" s="55"/>
      <c r="I30" s="58" t="s">
        <v>258</v>
      </c>
      <c r="J30" s="58" t="s">
        <v>269</v>
      </c>
      <c r="K30" s="41" t="s">
        <v>270</v>
      </c>
      <c r="L30" s="41"/>
      <c r="M30" s="41"/>
      <c r="N30" s="41"/>
      <c r="O30" s="41"/>
      <c r="P30" s="41"/>
      <c r="Q30" s="41"/>
      <c r="R30" s="41"/>
      <c r="S30" s="41"/>
      <c r="T30" s="41"/>
      <c r="U30" s="41"/>
      <c r="V30" s="41"/>
      <c r="W30" s="41"/>
      <c r="X30" s="41"/>
      <c r="Y30" s="41"/>
      <c r="Z30" s="41"/>
    </row>
    <row r="31" customHeight="1" ht="26.0">
      <c r="A31" s="62" t="n">
        <v>43991.0</v>
      </c>
      <c r="B31" s="39" t="s">
        <v>7</v>
      </c>
      <c r="C31" s="58" t="s">
        <v>267</v>
      </c>
      <c r="D31" s="55" t="s">
        <v>271</v>
      </c>
      <c r="E31" s="58" t="s">
        <v>272</v>
      </c>
      <c r="F31" s="55"/>
      <c r="G31" s="55"/>
      <c r="H31" s="55"/>
      <c r="I31" s="58" t="s">
        <v>258</v>
      </c>
      <c r="J31" s="58" t="s">
        <v>273</v>
      </c>
      <c r="K31" s="41" t="s">
        <v>274</v>
      </c>
      <c r="L31" s="41"/>
      <c r="M31" s="41"/>
      <c r="N31" s="41"/>
      <c r="O31" s="41"/>
      <c r="P31" s="41"/>
      <c r="Q31" s="41"/>
      <c r="R31" s="41"/>
      <c r="S31" s="41"/>
      <c r="T31" s="41"/>
      <c r="U31" s="41"/>
      <c r="V31" s="41"/>
      <c r="W31" s="41"/>
      <c r="X31" s="41"/>
      <c r="Y31" s="41"/>
      <c r="Z31" s="41"/>
    </row>
    <row r="32" customHeight="1" ht="26.0">
      <c r="A32" s="62" t="n">
        <v>43992.0</v>
      </c>
      <c r="B32" s="39" t="s">
        <v>9</v>
      </c>
      <c r="C32" s="58" t="s">
        <v>275</v>
      </c>
      <c r="D32" s="55"/>
      <c r="E32" s="58" t="s">
        <v>239</v>
      </c>
      <c r="F32" s="55"/>
      <c r="G32" s="55"/>
      <c r="H32" s="55"/>
      <c r="I32" s="58" t="s">
        <v>258</v>
      </c>
      <c r="J32" s="58" t="s">
        <v>276</v>
      </c>
      <c r="K32" s="41" t="s">
        <v>277</v>
      </c>
      <c r="L32" s="41"/>
      <c r="M32" s="41"/>
      <c r="N32" s="41"/>
      <c r="O32" s="41"/>
      <c r="P32" s="41"/>
      <c r="Q32" s="41"/>
      <c r="R32" s="41"/>
      <c r="S32" s="41"/>
      <c r="T32" s="41"/>
      <c r="U32" s="41"/>
      <c r="V32" s="41"/>
      <c r="W32" s="41"/>
      <c r="X32" s="41"/>
      <c r="Y32" s="41"/>
      <c r="Z32" s="41"/>
    </row>
    <row r="33" customHeight="1" ht="26.0">
      <c r="A33" s="62" t="n">
        <v>43993.0</v>
      </c>
      <c r="B33" s="39" t="s">
        <v>12</v>
      </c>
      <c r="C33" s="49" t="s">
        <v>267</v>
      </c>
      <c r="D33" s="56" t="s">
        <v>261</v>
      </c>
      <c r="E33" s="55"/>
      <c r="F33" s="55"/>
      <c r="G33" s="55" t="s">
        <v>278</v>
      </c>
      <c r="H33" s="55"/>
      <c r="I33" s="55" t="s">
        <v>279</v>
      </c>
      <c r="J33" s="49" t="s">
        <v>273</v>
      </c>
      <c r="K33" s="63" t="s">
        <v>280</v>
      </c>
      <c r="L33" s="41"/>
      <c r="M33" s="41"/>
      <c r="N33" s="41"/>
      <c r="O33" s="41"/>
      <c r="P33" s="41"/>
      <c r="Q33" s="41"/>
      <c r="R33" s="41"/>
      <c r="S33" s="41"/>
      <c r="T33" s="41"/>
      <c r="U33" s="41"/>
      <c r="V33" s="41"/>
      <c r="W33" s="41"/>
      <c r="X33" s="41"/>
      <c r="Y33" s="41"/>
      <c r="Z33" s="41"/>
    </row>
    <row r="34">
      <c r="A34" s="62" t="n">
        <v>43994.0</v>
      </c>
      <c r="B34" s="39" t="s">
        <v>15</v>
      </c>
      <c r="C34" s="55" t="s">
        <v>108</v>
      </c>
      <c r="D34" s="55"/>
      <c r="E34" s="58" t="s">
        <v>272</v>
      </c>
      <c r="F34" s="55"/>
      <c r="G34" s="55"/>
      <c r="H34" s="55"/>
      <c r="I34" s="58" t="s">
        <v>281</v>
      </c>
      <c r="J34" s="49" t="s">
        <v>282</v>
      </c>
      <c r="K34" s="63"/>
      <c r="L34" s="41"/>
      <c r="M34" s="41"/>
      <c r="N34" s="41"/>
      <c r="O34" s="41"/>
      <c r="P34" s="41"/>
      <c r="Q34" s="41"/>
      <c r="R34" s="41"/>
      <c r="S34" s="41"/>
      <c r="T34" s="41"/>
      <c r="U34" s="41"/>
      <c r="V34" s="41"/>
      <c r="W34" s="41"/>
      <c r="X34" s="41"/>
      <c r="Y34" s="41"/>
      <c r="Z34" s="41"/>
    </row>
    <row r="35" customHeight="1" ht="26.0">
      <c r="A35" s="62" t="n">
        <v>43995.0</v>
      </c>
      <c r="B35" s="39" t="s">
        <v>16</v>
      </c>
      <c r="C35" s="49" t="s">
        <v>283</v>
      </c>
      <c r="D35" s="56" t="s">
        <v>284</v>
      </c>
      <c r="E35" s="55"/>
      <c r="F35" s="55"/>
      <c r="G35" s="55"/>
      <c r="H35" s="55"/>
      <c r="I35" s="58" t="s">
        <v>258</v>
      </c>
      <c r="J35" s="58" t="s">
        <v>285</v>
      </c>
      <c r="K35" s="63"/>
      <c r="L35" s="41"/>
      <c r="M35" s="41"/>
      <c r="N35" s="41"/>
      <c r="O35" s="41"/>
      <c r="P35" s="41"/>
      <c r="Q35" s="41"/>
      <c r="R35" s="41"/>
      <c r="S35" s="41"/>
      <c r="T35" s="41"/>
      <c r="U35" s="41"/>
      <c r="V35" s="41"/>
      <c r="W35" s="41"/>
      <c r="X35" s="41"/>
      <c r="Y35" s="41"/>
      <c r="Z35" s="41"/>
    </row>
    <row r="36">
      <c r="A36" s="54" t="n">
        <v>43996.0</v>
      </c>
      <c r="B36" s="39" t="s">
        <v>19</v>
      </c>
      <c r="C36" s="56" t="s">
        <v>286</v>
      </c>
      <c r="D36" s="55"/>
      <c r="E36" s="55"/>
      <c r="F36" s="55"/>
      <c r="G36" s="55"/>
      <c r="H36" s="55"/>
      <c r="I36" s="55" t="s">
        <v>287</v>
      </c>
      <c r="J36" s="49" t="s">
        <v>288</v>
      </c>
      <c r="K36" s="41"/>
      <c r="L36" s="41"/>
      <c r="M36" s="41"/>
      <c r="N36" s="41"/>
      <c r="O36" s="41"/>
      <c r="P36" s="41"/>
      <c r="Q36" s="41"/>
      <c r="R36" s="41"/>
      <c r="S36" s="41"/>
      <c r="T36" s="41"/>
      <c r="U36" s="41"/>
      <c r="V36" s="41"/>
      <c r="W36" s="41"/>
      <c r="X36" s="41"/>
      <c r="Y36" s="41"/>
      <c r="Z36" s="41"/>
    </row>
    <row r="37">
      <c r="A37" s="41"/>
      <c r="B37" s="41"/>
      <c r="C37" s="60" t="s">
        <v>63</v>
      </c>
      <c r="D37" s="64" t="s">
        <v>266</v>
      </c>
      <c r="E37" s="60" t="s">
        <v>63</v>
      </c>
      <c r="F37" s="61" t="s">
        <v>266</v>
      </c>
      <c r="G37" s="61" t="s">
        <v>266</v>
      </c>
      <c r="H37" s="61" t="s">
        <v>266</v>
      </c>
      <c r="I37" s="60" t="s">
        <v>63</v>
      </c>
      <c r="J37" s="60" t="s">
        <v>63</v>
      </c>
      <c r="K37" s="61" t="s">
        <v>266</v>
      </c>
      <c r="L37" s="41"/>
      <c r="M37" s="41"/>
      <c r="N37" s="41"/>
      <c r="O37" s="41"/>
      <c r="P37" s="41"/>
      <c r="Q37" s="41"/>
      <c r="R37" s="41"/>
      <c r="S37" s="41"/>
      <c r="T37" s="41"/>
      <c r="U37" s="41"/>
      <c r="V37" s="41"/>
      <c r="W37" s="41"/>
      <c r="X37" s="41"/>
      <c r="Y37" s="41"/>
      <c r="Z37" s="41"/>
    </row>
    <row r="38" customHeight="1" ht="26.0">
      <c r="A38" s="54" t="n">
        <v>43997.0</v>
      </c>
      <c r="B38" s="39" t="s">
        <v>5</v>
      </c>
      <c r="C38" s="49" t="s">
        <v>289</v>
      </c>
      <c r="D38" s="55" t="s">
        <v>290</v>
      </c>
      <c r="E38" s="55"/>
      <c r="F38" s="55"/>
      <c r="G38" s="55"/>
      <c r="H38" s="55"/>
      <c r="I38" s="58" t="s">
        <v>258</v>
      </c>
      <c r="J38" s="49" t="s">
        <v>291</v>
      </c>
      <c r="K38" s="57"/>
      <c r="L38" s="59" t="s">
        <v>292</v>
      </c>
      <c r="M38" s="41"/>
      <c r="N38" s="41"/>
      <c r="O38" s="41"/>
      <c r="P38" s="41"/>
      <c r="Q38" s="41"/>
      <c r="R38" s="41"/>
      <c r="S38" s="41"/>
      <c r="T38" s="41"/>
      <c r="U38" s="41"/>
      <c r="V38" s="41"/>
      <c r="W38" s="41"/>
      <c r="X38" s="41"/>
      <c r="Y38" s="41"/>
      <c r="Z38" s="41"/>
    </row>
    <row r="39">
      <c r="A39" s="54" t="n">
        <v>43998.0</v>
      </c>
      <c r="B39" s="39" t="s">
        <v>7</v>
      </c>
      <c r="C39" s="55" t="s">
        <v>108</v>
      </c>
      <c r="D39" s="55"/>
      <c r="E39" s="55"/>
      <c r="F39" s="55"/>
      <c r="G39" s="55"/>
      <c r="H39" s="55"/>
      <c r="I39" s="58" t="s">
        <v>258</v>
      </c>
      <c r="J39" s="49" t="s">
        <v>293</v>
      </c>
      <c r="K39" s="57"/>
      <c r="L39" s="65" t="s">
        <v>294</v>
      </c>
      <c r="M39" s="41"/>
      <c r="N39" s="41"/>
      <c r="O39" s="41"/>
      <c r="P39" s="41"/>
      <c r="Q39" s="41"/>
      <c r="R39" s="41"/>
      <c r="S39" s="41"/>
      <c r="T39" s="41"/>
      <c r="U39" s="41"/>
      <c r="V39" s="41"/>
      <c r="W39" s="41"/>
      <c r="X39" s="41"/>
      <c r="Y39" s="41"/>
      <c r="Z39" s="41"/>
    </row>
    <row r="40" customHeight="1" ht="26.0">
      <c r="A40" s="54" t="n">
        <v>43999.0</v>
      </c>
      <c r="B40" s="39" t="s">
        <v>9</v>
      </c>
      <c r="C40" s="58" t="s">
        <v>295</v>
      </c>
      <c r="D40" s="58" t="s">
        <v>296</v>
      </c>
      <c r="E40" s="55"/>
      <c r="F40" s="55"/>
      <c r="G40" s="58" t="s">
        <v>252</v>
      </c>
      <c r="H40" s="55"/>
      <c r="I40" s="58" t="s">
        <v>258</v>
      </c>
      <c r="J40" s="49" t="s">
        <v>297</v>
      </c>
      <c r="K40" s="57"/>
      <c r="L40" s="59" t="s">
        <v>298</v>
      </c>
      <c r="M40" s="41"/>
      <c r="N40" s="41"/>
      <c r="O40" s="41"/>
      <c r="P40" s="41"/>
      <c r="Q40" s="41"/>
      <c r="R40" s="41"/>
      <c r="S40" s="41"/>
      <c r="T40" s="41"/>
      <c r="U40" s="41"/>
      <c r="V40" s="41"/>
      <c r="W40" s="41"/>
      <c r="X40" s="41"/>
      <c r="Y40" s="41"/>
      <c r="Z40" s="41"/>
    </row>
    <row r="41" customHeight="1" ht="26.0">
      <c r="A41" s="54" t="n">
        <v>44000.0</v>
      </c>
      <c r="B41" s="39" t="s">
        <v>12</v>
      </c>
      <c r="C41" s="58" t="s">
        <v>299</v>
      </c>
      <c r="D41" s="55"/>
      <c r="E41" s="55"/>
      <c r="F41" s="55" t="s">
        <v>300</v>
      </c>
      <c r="G41" s="55"/>
      <c r="H41" s="55"/>
      <c r="I41" s="58" t="s">
        <v>258</v>
      </c>
      <c r="J41" s="49" t="s">
        <v>301</v>
      </c>
      <c r="K41" s="57"/>
      <c r="L41" s="57" t="s">
        <v>302</v>
      </c>
      <c r="M41" s="41"/>
      <c r="N41" s="41"/>
      <c r="O41" s="41"/>
      <c r="P41" s="41"/>
      <c r="Q41" s="41"/>
      <c r="R41" s="41"/>
      <c r="S41" s="41"/>
      <c r="T41" s="41"/>
      <c r="U41" s="41"/>
      <c r="V41" s="41"/>
      <c r="W41" s="41"/>
      <c r="X41" s="41"/>
      <c r="Y41" s="41"/>
      <c r="Z41" s="41"/>
    </row>
    <row r="42" customHeight="1" ht="26.0">
      <c r="A42" s="54" t="n">
        <v>44001.0</v>
      </c>
      <c r="B42" s="39" t="s">
        <v>15</v>
      </c>
      <c r="C42" s="58" t="s">
        <v>303</v>
      </c>
      <c r="D42" s="55"/>
      <c r="E42" s="55"/>
      <c r="F42" s="55"/>
      <c r="G42" s="58" t="s">
        <v>304</v>
      </c>
      <c r="H42" s="55"/>
      <c r="I42" s="58" t="s">
        <v>258</v>
      </c>
      <c r="J42" s="49" t="s">
        <v>305</v>
      </c>
      <c r="K42" s="57"/>
      <c r="L42" s="59" t="s">
        <v>298</v>
      </c>
      <c r="M42" s="41"/>
      <c r="N42" s="41"/>
      <c r="O42" s="41"/>
      <c r="P42" s="41"/>
      <c r="Q42" s="41"/>
      <c r="R42" s="41"/>
      <c r="S42" s="41"/>
      <c r="T42" s="41"/>
      <c r="U42" s="41"/>
      <c r="V42" s="41"/>
      <c r="W42" s="41"/>
      <c r="X42" s="41"/>
      <c r="Y42" s="41"/>
      <c r="Z42" s="41"/>
    </row>
    <row r="43" customHeight="1" ht="26.0">
      <c r="A43" s="54" t="n">
        <v>44002.0</v>
      </c>
      <c r="B43" s="39" t="s">
        <v>16</v>
      </c>
      <c r="C43" s="58" t="s">
        <v>306</v>
      </c>
      <c r="D43" s="49" t="s">
        <v>307</v>
      </c>
      <c r="E43" s="55"/>
      <c r="F43" s="55"/>
      <c r="G43" s="55"/>
      <c r="H43" s="55"/>
      <c r="I43" s="58" t="s">
        <v>258</v>
      </c>
      <c r="J43" s="49" t="s">
        <v>308</v>
      </c>
      <c r="K43" s="57"/>
      <c r="L43" s="59" t="s">
        <v>298</v>
      </c>
      <c r="M43" s="41"/>
      <c r="N43" s="41"/>
      <c r="O43" s="41"/>
      <c r="P43" s="41"/>
      <c r="Q43" s="41"/>
      <c r="R43" s="41"/>
      <c r="S43" s="41"/>
      <c r="T43" s="41"/>
      <c r="U43" s="41"/>
      <c r="V43" s="41"/>
      <c r="W43" s="41"/>
      <c r="X43" s="41"/>
      <c r="Y43" s="41"/>
      <c r="Z43" s="41"/>
    </row>
    <row r="44">
      <c r="A44" s="54" t="n">
        <v>44003.0</v>
      </c>
      <c r="B44" s="39" t="s">
        <v>19</v>
      </c>
      <c r="C44" s="55" t="s">
        <v>108</v>
      </c>
      <c r="D44" s="55" t="s">
        <v>309</v>
      </c>
      <c r="E44" s="58" t="s">
        <v>272</v>
      </c>
      <c r="F44" s="55"/>
      <c r="G44" s="55"/>
      <c r="H44" s="55"/>
      <c r="I44" s="58" t="s">
        <v>258</v>
      </c>
      <c r="J44" s="49" t="s">
        <v>310</v>
      </c>
      <c r="K44" s="57"/>
      <c r="L44" s="57"/>
      <c r="M44" s="41"/>
      <c r="N44" s="41"/>
      <c r="O44" s="41"/>
      <c r="P44" s="41"/>
      <c r="Q44" s="41"/>
      <c r="R44" s="41"/>
      <c r="S44" s="41"/>
      <c r="T44" s="41"/>
      <c r="U44" s="41"/>
      <c r="V44" s="41"/>
      <c r="W44" s="41"/>
      <c r="X44" s="41"/>
      <c r="Y44" s="41"/>
      <c r="Z44" s="41"/>
    </row>
    <row r="45">
      <c r="A45" s="41"/>
      <c r="B45" s="41"/>
      <c r="C45" s="60" t="s">
        <v>63</v>
      </c>
      <c r="D45" s="61" t="s">
        <v>266</v>
      </c>
      <c r="E45" s="61" t="s">
        <v>266</v>
      </c>
      <c r="F45" s="61" t="s">
        <v>266</v>
      </c>
      <c r="G45" s="61" t="s">
        <v>266</v>
      </c>
      <c r="H45" s="61" t="s">
        <v>266</v>
      </c>
      <c r="I45" s="60" t="s">
        <v>63</v>
      </c>
      <c r="J45" s="60" t="s">
        <v>63</v>
      </c>
      <c r="K45" s="61" t="s">
        <v>266</v>
      </c>
      <c r="L45" s="60" t="s">
        <v>63</v>
      </c>
      <c r="M45" s="41"/>
      <c r="N45" s="41"/>
      <c r="O45" s="41"/>
      <c r="P45" s="41"/>
      <c r="Q45" s="41"/>
      <c r="R45" s="41"/>
      <c r="S45" s="41"/>
      <c r="T45" s="41"/>
      <c r="U45" s="41"/>
      <c r="V45" s="41"/>
      <c r="W45" s="41"/>
      <c r="X45" s="41"/>
      <c r="Y45" s="41"/>
      <c r="Z45" s="41"/>
    </row>
    <row r="46">
      <c r="A46" s="54" t="n">
        <v>44004.0</v>
      </c>
      <c r="B46" s="39" t="s">
        <v>5</v>
      </c>
      <c r="C46" s="53"/>
      <c r="D46" s="53"/>
      <c r="E46" s="53"/>
      <c r="F46" s="53"/>
      <c r="G46" s="53"/>
      <c r="H46" s="53"/>
      <c r="I46" s="53"/>
      <c r="J46" s="49" t="s">
        <v>311</v>
      </c>
      <c r="K46" s="41"/>
      <c r="L46" s="41"/>
      <c r="M46" s="41" t="s">
        <v>312</v>
      </c>
      <c r="N46" s="41"/>
      <c r="O46" s="41"/>
      <c r="P46" s="41"/>
      <c r="Q46" s="41"/>
      <c r="R46" s="41"/>
      <c r="S46" s="41"/>
      <c r="T46" s="41"/>
      <c r="U46" s="41"/>
      <c r="V46" s="41"/>
      <c r="W46" s="41"/>
      <c r="X46" s="41"/>
      <c r="Y46" s="41"/>
      <c r="Z46" s="41"/>
    </row>
    <row r="47">
      <c r="A47" s="54" t="n">
        <v>44005.0</v>
      </c>
      <c r="B47" s="39" t="s">
        <v>7</v>
      </c>
      <c r="C47" s="53"/>
      <c r="D47" s="53" t="s">
        <v>313</v>
      </c>
      <c r="E47" s="53"/>
      <c r="F47" s="53"/>
      <c r="G47" s="53" t="s">
        <v>314</v>
      </c>
      <c r="H47" s="53"/>
      <c r="I47" s="53"/>
      <c r="J47" s="53"/>
      <c r="K47" s="41"/>
      <c r="L47" s="41"/>
      <c r="M47" s="41" t="s">
        <v>315</v>
      </c>
      <c r="N47" s="41"/>
      <c r="O47" s="41"/>
      <c r="P47" s="41"/>
      <c r="Q47" s="41"/>
      <c r="R47" s="41"/>
      <c r="S47" s="41"/>
      <c r="T47" s="41"/>
      <c r="U47" s="41"/>
      <c r="V47" s="41"/>
      <c r="W47" s="41"/>
      <c r="X47" s="41"/>
      <c r="Y47" s="41"/>
      <c r="Z47" s="41"/>
    </row>
    <row r="48">
      <c r="A48" s="54" t="n">
        <v>44006.0</v>
      </c>
      <c r="B48" s="39" t="s">
        <v>9</v>
      </c>
      <c r="C48" s="53"/>
      <c r="D48" s="53" t="s">
        <v>316</v>
      </c>
      <c r="E48" s="53"/>
      <c r="F48" s="53"/>
      <c r="G48" s="53"/>
      <c r="H48" s="53"/>
      <c r="I48" s="53"/>
      <c r="J48" s="49" t="s">
        <v>317</v>
      </c>
      <c r="K48" s="41"/>
      <c r="L48" s="41"/>
      <c r="M48" s="41"/>
      <c r="N48" s="41"/>
      <c r="O48" s="41"/>
      <c r="P48" s="41"/>
      <c r="Q48" s="41"/>
      <c r="R48" s="41"/>
      <c r="S48" s="41"/>
      <c r="T48" s="41"/>
      <c r="U48" s="41"/>
      <c r="V48" s="41"/>
      <c r="W48" s="41"/>
      <c r="X48" s="41"/>
      <c r="Y48" s="41"/>
      <c r="Z48" s="41"/>
    </row>
    <row r="49" customHeight="1" ht="26.0">
      <c r="A49" s="54" t="n">
        <v>44007.0</v>
      </c>
      <c r="B49" s="39" t="s">
        <v>12</v>
      </c>
      <c r="C49" s="53"/>
      <c r="D49" s="53" t="s">
        <v>318</v>
      </c>
      <c r="E49" s="53"/>
      <c r="F49" s="53"/>
      <c r="G49" s="53"/>
      <c r="H49" s="53"/>
      <c r="I49" s="53"/>
      <c r="J49" s="49" t="s">
        <v>319</v>
      </c>
      <c r="K49" s="41"/>
      <c r="L49" s="41"/>
      <c r="M49" s="41"/>
      <c r="N49" s="41"/>
      <c r="O49" s="41"/>
      <c r="P49" s="41"/>
      <c r="Q49" s="41"/>
      <c r="R49" s="41"/>
      <c r="S49" s="41"/>
      <c r="T49" s="41"/>
      <c r="U49" s="41"/>
      <c r="V49" s="41"/>
      <c r="W49" s="41"/>
      <c r="X49" s="41"/>
      <c r="Y49" s="41"/>
      <c r="Z49" s="41"/>
    </row>
    <row r="50" customHeight="1" ht="26.0">
      <c r="A50" s="54" t="n">
        <v>44008.0</v>
      </c>
      <c r="B50" s="39" t="s">
        <v>15</v>
      </c>
      <c r="C50" s="53"/>
      <c r="D50" s="53" t="s">
        <v>320</v>
      </c>
      <c r="E50" s="53"/>
      <c r="F50" s="53"/>
      <c r="G50" s="53" t="s">
        <v>321</v>
      </c>
      <c r="H50" s="53"/>
      <c r="I50" s="53"/>
      <c r="J50" s="49" t="s">
        <v>322</v>
      </c>
      <c r="K50" s="41"/>
      <c r="L50" s="41"/>
      <c r="M50" s="41"/>
      <c r="N50" s="41"/>
      <c r="O50" s="41"/>
      <c r="P50" s="41"/>
      <c r="Q50" s="41"/>
      <c r="R50" s="41"/>
      <c r="S50" s="41"/>
      <c r="T50" s="41"/>
      <c r="U50" s="41"/>
      <c r="V50" s="41"/>
      <c r="W50" s="41"/>
      <c r="X50" s="41"/>
      <c r="Y50" s="41"/>
      <c r="Z50" s="41"/>
    </row>
    <row r="51" customHeight="1" ht="26.0">
      <c r="A51" s="54" t="n">
        <v>44009.0</v>
      </c>
      <c r="B51" s="39" t="s">
        <v>16</v>
      </c>
      <c r="C51" s="53"/>
      <c r="D51" s="53" t="s">
        <v>323</v>
      </c>
      <c r="E51" s="53"/>
      <c r="F51" s="53"/>
      <c r="G51" s="53" t="s">
        <v>324</v>
      </c>
      <c r="H51" s="53"/>
      <c r="I51" s="53"/>
      <c r="J51" s="49" t="s">
        <v>325</v>
      </c>
      <c r="K51" s="41"/>
      <c r="L51" s="41"/>
      <c r="M51" s="41"/>
      <c r="N51" s="41"/>
      <c r="O51" s="41"/>
      <c r="P51" s="41"/>
      <c r="Q51" s="41"/>
      <c r="R51" s="41"/>
      <c r="S51" s="41"/>
      <c r="T51" s="41"/>
      <c r="U51" s="41"/>
      <c r="V51" s="41"/>
      <c r="W51" s="41"/>
      <c r="X51" s="41"/>
      <c r="Y51" s="41"/>
      <c r="Z51" s="41"/>
    </row>
    <row r="52" customHeight="1" ht="26.0">
      <c r="A52" s="54" t="n">
        <v>44010.0</v>
      </c>
      <c r="B52" s="39" t="s">
        <v>19</v>
      </c>
      <c r="C52" s="53"/>
      <c r="D52" s="53"/>
      <c r="E52" s="53"/>
      <c r="F52" s="53"/>
      <c r="G52" s="53"/>
      <c r="H52" s="53"/>
      <c r="I52" s="53"/>
      <c r="J52" s="49" t="s">
        <v>326</v>
      </c>
      <c r="K52" s="41"/>
      <c r="L52" s="41"/>
      <c r="M52" s="41"/>
      <c r="N52" s="41"/>
      <c r="O52" s="41"/>
      <c r="P52" s="41"/>
      <c r="Q52" s="41"/>
      <c r="R52" s="41"/>
      <c r="S52" s="41"/>
      <c r="T52" s="41"/>
      <c r="U52" s="41"/>
      <c r="V52" s="41"/>
      <c r="W52" s="41"/>
      <c r="X52" s="41"/>
      <c r="Y52" s="41"/>
      <c r="Z52" s="41"/>
    </row>
    <row r="53" customHeight="1" ht="26.0">
      <c r="A53" s="48"/>
      <c r="B53" s="41"/>
      <c r="C53" s="53"/>
      <c r="D53" s="40" t="s">
        <v>323</v>
      </c>
      <c r="E53" s="53"/>
      <c r="F53" s="53"/>
      <c r="G53" s="53" t="s">
        <v>327</v>
      </c>
      <c r="H53" s="53"/>
      <c r="I53" s="53"/>
      <c r="J53" s="53"/>
      <c r="K53" s="41"/>
      <c r="L53" s="41"/>
      <c r="M53" s="41"/>
      <c r="N53" s="41" t="s">
        <v>328</v>
      </c>
      <c r="O53" s="41"/>
      <c r="P53" s="41"/>
      <c r="Q53" s="41"/>
      <c r="R53" s="41"/>
      <c r="S53" s="41"/>
      <c r="T53" s="41"/>
      <c r="U53" s="41"/>
      <c r="V53" s="41"/>
      <c r="W53" s="41"/>
      <c r="X53" s="41"/>
      <c r="Y53" s="41"/>
      <c r="Z53" s="41"/>
    </row>
    <row r="54">
      <c r="A54" s="41"/>
      <c r="B54" s="41"/>
      <c r="C54" s="53"/>
      <c r="D54" s="53" t="s">
        <v>329</v>
      </c>
      <c r="E54" s="53"/>
      <c r="F54" s="53"/>
      <c r="G54" s="53"/>
      <c r="H54" s="53"/>
      <c r="I54" s="53"/>
      <c r="J54" s="53"/>
      <c r="K54" s="41"/>
      <c r="L54" s="41"/>
      <c r="M54" s="41"/>
      <c r="N54" s="41" t="s">
        <v>328</v>
      </c>
      <c r="O54" s="41"/>
      <c r="P54" s="41"/>
      <c r="Q54" s="41"/>
      <c r="R54" s="41"/>
      <c r="S54" s="41"/>
      <c r="T54" s="41"/>
      <c r="U54" s="41"/>
      <c r="V54" s="41"/>
      <c r="W54" s="41"/>
      <c r="X54" s="41"/>
      <c r="Y54" s="41"/>
      <c r="Z54" s="41"/>
    </row>
    <row r="55">
      <c r="A55" s="41"/>
      <c r="B55" s="41"/>
      <c r="C55" s="40"/>
      <c r="D55" s="40"/>
      <c r="E55" s="40"/>
      <c r="F55" s="40"/>
      <c r="G55" s="40"/>
      <c r="H55" s="40"/>
      <c r="I55" s="40"/>
      <c r="J55" s="40"/>
      <c r="K55" s="41"/>
      <c r="L55" s="41"/>
      <c r="M55" s="41"/>
      <c r="N55" s="39"/>
      <c r="O55" s="41"/>
      <c r="P55" s="41"/>
      <c r="Q55" s="41"/>
      <c r="R55" s="41"/>
      <c r="S55" s="41"/>
      <c r="T55" s="41"/>
      <c r="U55" s="41"/>
      <c r="V55" s="41"/>
      <c r="W55" s="41"/>
      <c r="X55" s="41"/>
      <c r="Y55" s="41"/>
      <c r="Z55" s="41"/>
    </row>
    <row r="56">
      <c r="A56" s="66"/>
      <c r="B56" s="66"/>
      <c r="C56" s="43" t="s">
        <v>2</v>
      </c>
      <c r="D56" s="43" t="s">
        <v>230</v>
      </c>
      <c r="E56" s="43"/>
      <c r="F56" s="43"/>
      <c r="G56" s="43"/>
      <c r="H56" s="43"/>
      <c r="I56" s="43"/>
      <c r="J56" s="43"/>
      <c r="K56" s="66"/>
      <c r="L56" s="66"/>
      <c r="M56" s="66"/>
      <c r="N56" s="67"/>
      <c r="O56" s="66"/>
      <c r="P56" s="66"/>
      <c r="Q56" s="66"/>
      <c r="R56" s="66"/>
      <c r="S56" s="66"/>
      <c r="T56" s="66"/>
      <c r="U56" s="66"/>
      <c r="V56" s="66"/>
      <c r="W56" s="66"/>
      <c r="X56" s="66"/>
      <c r="Y56" s="66"/>
      <c r="Z56" s="66"/>
    </row>
    <row r="57">
      <c r="A57" s="54" t="n">
        <v>44032.0</v>
      </c>
      <c r="B57" s="39" t="s">
        <v>90</v>
      </c>
      <c r="C57" s="40" t="s">
        <v>330</v>
      </c>
      <c r="D57" s="40"/>
      <c r="E57" s="40"/>
      <c r="F57" s="40"/>
      <c r="G57" s="40"/>
      <c r="H57" s="40"/>
      <c r="I57" s="40"/>
      <c r="J57" s="40"/>
      <c r="K57" s="39"/>
      <c r="L57" s="39"/>
      <c r="M57" s="39"/>
      <c r="N57" s="39"/>
      <c r="O57" s="41"/>
      <c r="P57" s="41"/>
      <c r="Q57" s="41"/>
      <c r="R57" s="41"/>
      <c r="S57" s="41"/>
      <c r="T57" s="41"/>
      <c r="U57" s="41"/>
      <c r="V57" s="41"/>
      <c r="W57" s="41"/>
      <c r="X57" s="41"/>
      <c r="Y57" s="41"/>
      <c r="Z57" s="41"/>
    </row>
    <row r="58">
      <c r="A58" s="54" t="n">
        <v>44033.0</v>
      </c>
      <c r="B58" s="39" t="s">
        <v>92</v>
      </c>
      <c r="C58" s="40" t="s">
        <v>108</v>
      </c>
      <c r="D58" s="40" t="s">
        <v>331</v>
      </c>
      <c r="E58" s="40"/>
      <c r="F58" s="40"/>
      <c r="G58" s="40"/>
      <c r="H58" s="40"/>
      <c r="I58" s="40"/>
      <c r="J58" s="40"/>
      <c r="K58" s="39"/>
      <c r="L58" s="39"/>
      <c r="M58" s="39"/>
      <c r="N58" s="39"/>
      <c r="O58" s="41"/>
      <c r="P58" s="41"/>
      <c r="Q58" s="41"/>
      <c r="R58" s="41"/>
      <c r="S58" s="41"/>
      <c r="T58" s="41"/>
      <c r="U58" s="41"/>
      <c r="V58" s="41"/>
      <c r="W58" s="41"/>
      <c r="X58" s="41"/>
      <c r="Y58" s="41"/>
      <c r="Z58" s="41"/>
    </row>
    <row r="59" customHeight="1" ht="26.0">
      <c r="A59" s="54" t="n">
        <v>44034.0</v>
      </c>
      <c r="B59" s="39" t="s">
        <v>94</v>
      </c>
      <c r="C59" s="40" t="s">
        <v>332</v>
      </c>
      <c r="D59" s="40"/>
      <c r="E59" s="40"/>
      <c r="F59" s="40"/>
      <c r="G59" s="40"/>
      <c r="H59" s="40"/>
      <c r="I59" s="40"/>
      <c r="J59" s="40"/>
      <c r="K59" s="39"/>
      <c r="L59" s="39"/>
      <c r="M59" s="39"/>
      <c r="N59" s="39"/>
      <c r="O59" s="41"/>
      <c r="P59" s="41"/>
      <c r="Q59" s="41"/>
      <c r="R59" s="41"/>
      <c r="S59" s="41"/>
      <c r="T59" s="41"/>
      <c r="U59" s="41"/>
      <c r="V59" s="41"/>
      <c r="W59" s="41"/>
      <c r="X59" s="41"/>
      <c r="Y59" s="41"/>
      <c r="Z59" s="41"/>
    </row>
    <row r="60">
      <c r="A60" s="54" t="n">
        <v>44035.0</v>
      </c>
      <c r="B60" s="39" t="s">
        <v>96</v>
      </c>
      <c r="C60" s="40" t="s">
        <v>108</v>
      </c>
      <c r="D60" s="40" t="s">
        <v>331</v>
      </c>
      <c r="E60" s="40"/>
      <c r="F60" s="40"/>
      <c r="G60" s="40"/>
      <c r="H60" s="40"/>
      <c r="I60" s="40"/>
      <c r="J60" s="40"/>
      <c r="K60" s="39"/>
      <c r="L60" s="39"/>
      <c r="M60" s="39"/>
      <c r="N60" s="39"/>
      <c r="O60" s="41"/>
      <c r="P60" s="41"/>
      <c r="Q60" s="41"/>
      <c r="R60" s="41"/>
      <c r="S60" s="41"/>
      <c r="T60" s="41"/>
      <c r="U60" s="41"/>
      <c r="V60" s="41"/>
      <c r="W60" s="41"/>
      <c r="X60" s="41"/>
      <c r="Y60" s="41"/>
      <c r="Z60" s="41"/>
    </row>
    <row r="61">
      <c r="A61" s="54" t="n">
        <v>44036.0</v>
      </c>
      <c r="B61" s="39" t="s">
        <v>98</v>
      </c>
      <c r="C61" s="40" t="s">
        <v>333</v>
      </c>
      <c r="D61" s="40"/>
      <c r="E61" s="40"/>
      <c r="F61" s="40"/>
      <c r="G61" s="40"/>
      <c r="H61" s="40"/>
      <c r="I61" s="40"/>
      <c r="J61" s="40"/>
      <c r="K61" s="39"/>
      <c r="L61" s="39"/>
      <c r="M61" s="39"/>
      <c r="N61" s="39"/>
      <c r="O61" s="41"/>
      <c r="P61" s="41"/>
      <c r="Q61" s="41"/>
      <c r="R61" s="41"/>
      <c r="S61" s="41"/>
      <c r="T61" s="41"/>
      <c r="U61" s="41"/>
      <c r="V61" s="41"/>
      <c r="W61" s="41"/>
      <c r="X61" s="41"/>
      <c r="Y61" s="41"/>
      <c r="Z61" s="41"/>
    </row>
    <row r="62">
      <c r="A62" s="54" t="n">
        <v>44037.0</v>
      </c>
      <c r="B62" s="39" t="s">
        <v>100</v>
      </c>
      <c r="C62" s="40" t="s">
        <v>334</v>
      </c>
      <c r="D62" s="40" t="s">
        <v>331</v>
      </c>
      <c r="E62" s="40"/>
      <c r="F62" s="40"/>
      <c r="G62" s="40"/>
      <c r="H62" s="40"/>
      <c r="I62" s="40"/>
      <c r="J62" s="40"/>
      <c r="K62" s="39"/>
      <c r="L62" s="39"/>
      <c r="M62" s="39"/>
      <c r="N62" s="39"/>
      <c r="O62" s="41"/>
      <c r="P62" s="41"/>
      <c r="Q62" s="41"/>
      <c r="R62" s="41"/>
      <c r="S62" s="41"/>
      <c r="T62" s="41"/>
      <c r="U62" s="41"/>
      <c r="V62" s="41"/>
      <c r="W62" s="41"/>
      <c r="X62" s="41"/>
      <c r="Y62" s="41"/>
      <c r="Z62" s="41"/>
    </row>
    <row r="63">
      <c r="A63" s="54" t="n">
        <v>44038.0</v>
      </c>
      <c r="B63" s="39" t="s">
        <v>101</v>
      </c>
      <c r="C63" s="40" t="s">
        <v>108</v>
      </c>
      <c r="D63" s="40"/>
      <c r="E63" s="40"/>
      <c r="F63" s="40"/>
      <c r="G63" s="40"/>
      <c r="H63" s="40"/>
      <c r="I63" s="40"/>
      <c r="J63" s="40"/>
      <c r="K63" s="39"/>
      <c r="L63" s="39"/>
      <c r="M63" s="39"/>
      <c r="N63" s="39"/>
      <c r="O63" s="41"/>
      <c r="P63" s="41"/>
      <c r="Q63" s="41"/>
      <c r="R63" s="41"/>
      <c r="S63" s="41"/>
      <c r="T63" s="41"/>
      <c r="U63" s="41"/>
      <c r="V63" s="41"/>
      <c r="W63" s="41"/>
      <c r="X63" s="41"/>
      <c r="Y63" s="41"/>
      <c r="Z63" s="41"/>
    </row>
    <row r="64">
      <c r="A64" s="68"/>
      <c r="B64" s="68"/>
      <c r="C64" s="69" t="s">
        <v>127</v>
      </c>
      <c r="D64" s="69" t="s">
        <v>127</v>
      </c>
      <c r="E64" s="69"/>
      <c r="F64" s="69"/>
      <c r="G64" s="69"/>
      <c r="H64" s="69"/>
      <c r="I64" s="69"/>
      <c r="J64" s="69"/>
      <c r="K64" s="68"/>
      <c r="L64" s="68"/>
      <c r="M64" s="68"/>
      <c r="N64" s="68"/>
      <c r="O64" s="68"/>
      <c r="P64" s="68"/>
      <c r="Q64" s="68"/>
      <c r="R64" s="68"/>
      <c r="S64" s="68"/>
      <c r="T64" s="68"/>
      <c r="U64" s="68"/>
      <c r="V64" s="68"/>
      <c r="W64" s="68"/>
      <c r="X64" s="68"/>
      <c r="Y64" s="68"/>
      <c r="Z64" s="68"/>
    </row>
    <row r="65">
      <c r="A65" s="41"/>
      <c r="B65" s="41"/>
      <c r="C65" s="53"/>
      <c r="D65" s="53"/>
      <c r="E65" s="53"/>
      <c r="F65" s="53"/>
      <c r="G65" s="53"/>
      <c r="H65" s="53"/>
      <c r="I65" s="53"/>
      <c r="J65" s="53"/>
      <c r="K65" s="41"/>
      <c r="L65" s="41"/>
      <c r="M65" s="41"/>
      <c r="N65" s="41"/>
      <c r="O65" s="41"/>
      <c r="P65" s="41"/>
      <c r="Q65" s="41"/>
      <c r="R65" s="41"/>
      <c r="S65" s="41"/>
      <c r="T65" s="41"/>
      <c r="U65" s="41"/>
      <c r="V65" s="41"/>
      <c r="W65" s="41"/>
      <c r="X65" s="41"/>
      <c r="Y65" s="41"/>
      <c r="Z65" s="41"/>
    </row>
    <row r="66">
      <c r="A66" s="48" t="s">
        <v>0</v>
      </c>
      <c r="B66" s="39" t="s">
        <v>102</v>
      </c>
      <c r="C66" s="40" t="s">
        <v>2</v>
      </c>
      <c r="D66" s="40" t="s">
        <v>230</v>
      </c>
      <c r="E66" s="40" t="s">
        <v>4</v>
      </c>
      <c r="F66" s="40" t="s">
        <v>3</v>
      </c>
      <c r="G66" s="40" t="s">
        <v>34</v>
      </c>
      <c r="H66" s="40" t="s">
        <v>167</v>
      </c>
      <c r="I66" s="40" t="s">
        <v>31</v>
      </c>
      <c r="J66" s="39" t="s">
        <v>103</v>
      </c>
      <c r="K66" s="39"/>
      <c r="L66" s="39"/>
      <c r="M66" s="39"/>
      <c r="N66" s="39"/>
      <c r="O66" s="2"/>
      <c r="P66" s="39"/>
      <c r="Q66" s="39"/>
      <c r="R66" s="39"/>
      <c r="S66" s="39"/>
      <c r="T66" s="39"/>
      <c r="U66" s="39"/>
      <c r="V66" s="39"/>
      <c r="W66" s="39"/>
      <c r="X66" s="39"/>
      <c r="Y66" s="39"/>
      <c r="Z66" s="39"/>
    </row>
    <row r="67">
      <c r="A67" s="54" t="n">
        <v>44039.0</v>
      </c>
      <c r="B67" s="39" t="s">
        <v>90</v>
      </c>
      <c r="C67" s="65" t="s">
        <v>335</v>
      </c>
      <c r="D67" s="70"/>
      <c r="E67" s="70" t="s">
        <v>185</v>
      </c>
      <c r="F67" s="70"/>
      <c r="G67" s="65" t="s">
        <v>336</v>
      </c>
      <c r="H67" s="71"/>
      <c r="I67" s="70"/>
      <c r="J67" s="65" t="s">
        <v>337</v>
      </c>
      <c r="K67" s="39"/>
      <c r="L67" s="39"/>
      <c r="M67" s="39"/>
      <c r="N67" s="39"/>
      <c r="O67" s="2"/>
      <c r="P67" s="39"/>
      <c r="Q67" s="39"/>
      <c r="R67" s="39"/>
      <c r="S67" s="39"/>
      <c r="T67" s="39"/>
      <c r="U67" s="39"/>
      <c r="V67" s="39"/>
      <c r="W67" s="39"/>
      <c r="X67" s="39"/>
      <c r="Y67" s="39"/>
      <c r="Z67" s="39"/>
    </row>
    <row r="68" customHeight="1" ht="26.0">
      <c r="A68" s="54" t="n">
        <v>44040.0</v>
      </c>
      <c r="B68" s="39" t="s">
        <v>92</v>
      </c>
      <c r="C68" s="65" t="s">
        <v>338</v>
      </c>
      <c r="D68" s="49" t="s">
        <v>339</v>
      </c>
      <c r="E68" s="49" t="s">
        <v>216</v>
      </c>
      <c r="F68" s="65" t="s">
        <v>340</v>
      </c>
      <c r="G68" s="70"/>
      <c r="H68" s="72" t="s">
        <v>258</v>
      </c>
      <c r="I68" s="65" t="s">
        <v>272</v>
      </c>
      <c r="J68" s="65" t="s">
        <v>341</v>
      </c>
      <c r="K68" s="39"/>
      <c r="L68" s="39"/>
      <c r="M68" s="39"/>
      <c r="N68" s="39"/>
      <c r="O68" s="2"/>
      <c r="P68" s="39"/>
      <c r="Q68" s="39"/>
      <c r="R68" s="39"/>
      <c r="S68" s="39"/>
      <c r="T68" s="39"/>
      <c r="U68" s="39"/>
      <c r="V68" s="39"/>
      <c r="W68" s="39"/>
      <c r="X68" s="39"/>
      <c r="Y68" s="39"/>
      <c r="Z68" s="39"/>
    </row>
    <row r="69">
      <c r="A69" s="54" t="n">
        <v>44041.0</v>
      </c>
      <c r="B69" s="39" t="s">
        <v>94</v>
      </c>
      <c r="C69" s="70" t="s">
        <v>342</v>
      </c>
      <c r="D69" s="70"/>
      <c r="E69" s="65" t="s">
        <v>219</v>
      </c>
      <c r="F69" s="70"/>
      <c r="G69" s="70"/>
      <c r="H69" s="70"/>
      <c r="I69" s="70"/>
      <c r="J69" s="73" t="s">
        <v>343</v>
      </c>
      <c r="K69" s="39"/>
      <c r="L69" s="39"/>
      <c r="M69" s="39"/>
      <c r="N69" s="39"/>
      <c r="O69" s="2"/>
      <c r="P69" s="39"/>
      <c r="Q69" s="39"/>
      <c r="R69" s="39"/>
      <c r="S69" s="39"/>
      <c r="T69" s="39"/>
      <c r="U69" s="39"/>
      <c r="V69" s="39"/>
      <c r="W69" s="39"/>
      <c r="X69" s="39"/>
      <c r="Y69" s="39"/>
      <c r="Z69" s="39"/>
    </row>
    <row r="70">
      <c r="A70" s="54" t="n">
        <v>44042.0</v>
      </c>
      <c r="B70" s="39" t="s">
        <v>96</v>
      </c>
      <c r="C70" s="65" t="s">
        <v>344</v>
      </c>
      <c r="D70" s="74" t="s">
        <v>345</v>
      </c>
      <c r="E70" s="70" t="s">
        <v>185</v>
      </c>
      <c r="F70" s="49" t="s">
        <v>346</v>
      </c>
      <c r="G70" s="70"/>
      <c r="H70" s="70"/>
      <c r="I70" s="70"/>
      <c r="J70" s="71" t="s">
        <v>118</v>
      </c>
      <c r="K70" s="39"/>
      <c r="L70" s="39"/>
      <c r="M70" s="39"/>
      <c r="N70" s="39"/>
      <c r="O70" s="2"/>
      <c r="P70" s="39"/>
      <c r="Q70" s="39"/>
      <c r="R70" s="39"/>
      <c r="S70" s="39"/>
      <c r="T70" s="39"/>
      <c r="U70" s="39"/>
      <c r="V70" s="39"/>
      <c r="W70" s="39"/>
      <c r="X70" s="39"/>
      <c r="Y70" s="39"/>
      <c r="Z70" s="39"/>
    </row>
    <row r="71">
      <c r="A71" s="54" t="n">
        <v>44043.0</v>
      </c>
      <c r="B71" s="39" t="s">
        <v>98</v>
      </c>
      <c r="C71" s="65" t="s">
        <v>347</v>
      </c>
      <c r="D71" s="74" t="s">
        <v>345</v>
      </c>
      <c r="E71" s="70" t="s">
        <v>185</v>
      </c>
      <c r="F71" s="65" t="s">
        <v>348</v>
      </c>
      <c r="G71" s="70"/>
      <c r="H71" s="72" t="s">
        <v>349</v>
      </c>
      <c r="I71" s="70"/>
      <c r="J71" s="65" t="s">
        <v>350</v>
      </c>
      <c r="K71" s="39"/>
      <c r="L71" s="39"/>
      <c r="M71" s="39"/>
      <c r="N71" s="39"/>
      <c r="O71" s="2"/>
      <c r="P71" s="39"/>
      <c r="Q71" s="39"/>
      <c r="R71" s="39"/>
      <c r="S71" s="39"/>
      <c r="T71" s="39"/>
      <c r="U71" s="39"/>
      <c r="V71" s="39"/>
      <c r="W71" s="39"/>
      <c r="X71" s="39"/>
      <c r="Y71" s="39"/>
      <c r="Z71" s="39"/>
    </row>
    <row r="72">
      <c r="A72" s="54" t="n">
        <v>44044.0</v>
      </c>
      <c r="B72" s="39" t="s">
        <v>100</v>
      </c>
      <c r="C72" s="70" t="s">
        <v>108</v>
      </c>
      <c r="D72" s="70"/>
      <c r="E72" s="70" t="s">
        <v>185</v>
      </c>
      <c r="F72" s="70"/>
      <c r="G72" s="70"/>
      <c r="H72" s="70"/>
      <c r="I72" s="70"/>
      <c r="J72" s="65" t="s">
        <v>351</v>
      </c>
      <c r="K72" s="39"/>
      <c r="L72" s="39"/>
      <c r="M72" s="39"/>
      <c r="N72" s="39"/>
      <c r="O72" s="2"/>
      <c r="P72" s="39"/>
      <c r="Q72" s="39"/>
      <c r="R72" s="39"/>
      <c r="S72" s="39"/>
      <c r="T72" s="39"/>
      <c r="U72" s="39"/>
      <c r="V72" s="39"/>
      <c r="W72" s="39"/>
      <c r="X72" s="39"/>
      <c r="Y72" s="39"/>
      <c r="Z72" s="39"/>
    </row>
    <row r="73">
      <c r="A73" s="54" t="n">
        <v>44045.0</v>
      </c>
      <c r="B73" s="39" t="s">
        <v>101</v>
      </c>
      <c r="C73" s="65" t="s">
        <v>352</v>
      </c>
      <c r="D73" s="74" t="s">
        <v>353</v>
      </c>
      <c r="E73" s="65" t="s">
        <v>219</v>
      </c>
      <c r="F73" s="49" t="s">
        <v>346</v>
      </c>
      <c r="G73" s="70"/>
      <c r="H73" s="70"/>
      <c r="I73" s="70"/>
      <c r="J73" s="65" t="s">
        <v>350</v>
      </c>
      <c r="K73" s="39"/>
      <c r="L73" s="39"/>
      <c r="M73" s="39"/>
      <c r="N73" s="39"/>
      <c r="O73" s="2"/>
      <c r="P73" s="39"/>
      <c r="Q73" s="39"/>
      <c r="R73" s="39"/>
      <c r="S73" s="39"/>
      <c r="T73" s="39"/>
      <c r="U73" s="39"/>
      <c r="V73" s="39"/>
      <c r="W73" s="39"/>
      <c r="X73" s="39"/>
      <c r="Y73" s="39"/>
      <c r="Z73" s="39"/>
    </row>
    <row r="74">
      <c r="A74" s="41"/>
      <c r="B74" s="41"/>
      <c r="C74" s="18" t="s">
        <v>114</v>
      </c>
      <c r="D74" s="18" t="s">
        <v>114</v>
      </c>
      <c r="E74" s="29" t="s">
        <v>115</v>
      </c>
      <c r="F74" s="18" t="s">
        <v>114</v>
      </c>
      <c r="G74" s="29" t="s">
        <v>115</v>
      </c>
      <c r="H74" s="29" t="s">
        <v>115</v>
      </c>
      <c r="I74" s="29" t="s">
        <v>115</v>
      </c>
      <c r="J74" s="18" t="s">
        <v>114</v>
      </c>
      <c r="K74" s="41"/>
      <c r="L74" s="41"/>
      <c r="M74" s="41"/>
      <c r="N74" s="41"/>
      <c r="O74" s="41"/>
      <c r="P74" s="41"/>
      <c r="Q74" s="41"/>
      <c r="R74" s="41"/>
      <c r="S74" s="41"/>
      <c r="T74" s="41"/>
      <c r="U74" s="41"/>
      <c r="V74" s="41"/>
      <c r="W74" s="41"/>
      <c r="X74" s="41"/>
      <c r="Y74" s="41"/>
      <c r="Z74" s="41"/>
    </row>
    <row r="75">
      <c r="A75" s="41"/>
      <c r="B75" s="41"/>
      <c r="C75" s="53"/>
      <c r="D75" s="53"/>
      <c r="E75" s="53" t="s">
        <v>354</v>
      </c>
      <c r="F75" s="53"/>
      <c r="G75" s="53"/>
      <c r="H75" s="53"/>
      <c r="I75" s="53"/>
      <c r="J75" s="53"/>
      <c r="K75" s="41"/>
      <c r="L75" s="41"/>
      <c r="M75" s="41"/>
      <c r="N75" s="41"/>
      <c r="O75" s="41"/>
      <c r="P75" s="41"/>
      <c r="Q75" s="41"/>
      <c r="R75" s="41"/>
      <c r="S75" s="41"/>
      <c r="T75" s="41"/>
      <c r="U75" s="41"/>
      <c r="V75" s="41"/>
      <c r="W75" s="41"/>
      <c r="X75" s="41"/>
      <c r="Y75" s="41"/>
      <c r="Z75" s="41"/>
    </row>
    <row r="76">
      <c r="A76" s="41" t="s">
        <v>116</v>
      </c>
      <c r="B76" s="41"/>
      <c r="C76" s="75" t="n">
        <v>4.0</v>
      </c>
      <c r="D76" s="75" t="n">
        <v>4.0</v>
      </c>
      <c r="E76" s="75" t="n">
        <v>0.2</v>
      </c>
      <c r="F76" s="75" t="n">
        <v>4.0</v>
      </c>
      <c r="G76" s="75" t="n">
        <v>-0.6</v>
      </c>
      <c r="H76" s="75" t="n">
        <v>-0.2</v>
      </c>
      <c r="I76" s="75" t="n">
        <v>-0.6</v>
      </c>
      <c r="J76" s="75" t="n">
        <v>4.0</v>
      </c>
      <c r="K76" s="41"/>
      <c r="L76" s="41"/>
      <c r="M76" s="41"/>
      <c r="N76" s="41"/>
      <c r="O76" s="41"/>
      <c r="P76" s="41"/>
      <c r="Q76" s="41"/>
      <c r="R76" s="41"/>
      <c r="S76" s="41"/>
      <c r="T76" s="41"/>
      <c r="U76" s="41"/>
      <c r="V76" s="41"/>
      <c r="W76" s="41"/>
      <c r="X76" s="41"/>
      <c r="Y76" s="41"/>
      <c r="Z76" s="41"/>
    </row>
    <row r="77">
      <c r="A77" s="41"/>
      <c r="B77" s="41"/>
      <c r="C77" s="53"/>
      <c r="D77" s="53"/>
      <c r="E77" s="53"/>
      <c r="F77" s="53"/>
      <c r="G77" s="53"/>
      <c r="H77" s="53"/>
      <c r="I77" s="53"/>
      <c r="J77" s="53"/>
      <c r="K77" s="41"/>
      <c r="L77" s="41"/>
      <c r="M77" s="41"/>
      <c r="N77" s="41"/>
      <c r="O77" s="41"/>
      <c r="P77" s="41"/>
      <c r="Q77" s="41"/>
      <c r="R77" s="41"/>
      <c r="S77" s="41"/>
      <c r="T77" s="41"/>
      <c r="U77" s="41"/>
      <c r="V77" s="41"/>
      <c r="W77" s="41"/>
      <c r="X77" s="41"/>
      <c r="Y77" s="41"/>
      <c r="Z77" s="41"/>
    </row>
    <row r="78">
      <c r="A78" s="4" t="s">
        <v>0</v>
      </c>
      <c r="B78" s="1" t="s">
        <v>102</v>
      </c>
      <c r="C78" s="1" t="s">
        <v>2</v>
      </c>
      <c r="D78" s="1" t="s">
        <v>3</v>
      </c>
      <c r="E78" s="1" t="s">
        <v>4</v>
      </c>
      <c r="F78" s="1" t="s">
        <v>355</v>
      </c>
      <c r="G78" s="1" t="s">
        <v>229</v>
      </c>
      <c r="H78" s="1" t="s">
        <v>31</v>
      </c>
      <c r="I78" s="1" t="s">
        <v>117</v>
      </c>
      <c r="J78" s="1" t="s">
        <v>103</v>
      </c>
      <c r="K78" s="1" t="s">
        <v>36</v>
      </c>
      <c r="L78" s="1" t="s">
        <v>230</v>
      </c>
      <c r="M78" s="1" t="s">
        <v>167</v>
      </c>
      <c r="N78" s="1"/>
      <c r="O78" s="1"/>
      <c r="P78" s="1"/>
      <c r="Q78" s="1"/>
      <c r="R78" s="1"/>
      <c r="S78" s="1"/>
      <c r="T78" s="1"/>
      <c r="U78" s="1"/>
      <c r="V78" s="1"/>
      <c r="W78" s="1"/>
      <c r="X78" s="1"/>
      <c r="Y78" s="1"/>
      <c r="Z78" s="1"/>
    </row>
    <row r="79" customHeight="1" ht="39.0">
      <c r="A79" s="17" t="n">
        <v>44046.0</v>
      </c>
      <c r="B79" s="1" t="s">
        <v>90</v>
      </c>
      <c r="C79" s="26" t="s">
        <v>108</v>
      </c>
      <c r="D79" s="49" t="s">
        <v>346</v>
      </c>
      <c r="E79" s="25" t="s">
        <v>219</v>
      </c>
      <c r="F79" s="25" t="s">
        <v>356</v>
      </c>
      <c r="G79" s="25" t="s">
        <v>357</v>
      </c>
      <c r="H79" s="12" t="s">
        <v>358</v>
      </c>
      <c r="I79" s="26" t="s">
        <v>108</v>
      </c>
      <c r="J79" s="25" t="s">
        <v>350</v>
      </c>
      <c r="K79" s="25" t="s">
        <v>359</v>
      </c>
      <c r="L79" s="25" t="s">
        <v>360</v>
      </c>
      <c r="M79" s="26"/>
      <c r="N79" s="1"/>
      <c r="O79" s="1"/>
      <c r="P79" s="1"/>
      <c r="Q79" s="1"/>
      <c r="R79" s="1"/>
      <c r="S79" s="1"/>
      <c r="T79" s="1"/>
      <c r="U79" s="1"/>
      <c r="V79" s="1"/>
      <c r="W79" s="1"/>
      <c r="X79" s="1"/>
      <c r="Y79" s="1"/>
      <c r="Z79" s="1"/>
    </row>
    <row r="80">
      <c r="A80" s="17" t="n">
        <v>44047.0</v>
      </c>
      <c r="B80" s="1" t="s">
        <v>92</v>
      </c>
      <c r="C80" s="25" t="s">
        <v>361</v>
      </c>
      <c r="D80" s="26" t="s">
        <v>108</v>
      </c>
      <c r="E80" s="25" t="s">
        <v>216</v>
      </c>
      <c r="F80" s="26" t="s">
        <v>108</v>
      </c>
      <c r="G80" s="26"/>
      <c r="H80" s="25" t="s">
        <v>362</v>
      </c>
      <c r="I80" s="26" t="s">
        <v>108</v>
      </c>
      <c r="J80" s="25" t="s">
        <v>363</v>
      </c>
      <c r="K80" s="26" t="s">
        <v>108</v>
      </c>
      <c r="L80" s="25" t="s">
        <v>360</v>
      </c>
      <c r="M80" s="26"/>
      <c r="N80" s="1"/>
      <c r="O80" s="1"/>
      <c r="P80" s="1"/>
      <c r="Q80" s="1"/>
      <c r="R80" s="1"/>
      <c r="S80" s="1"/>
      <c r="T80" s="1"/>
      <c r="U80" s="1"/>
      <c r="V80" s="1"/>
      <c r="W80" s="1"/>
      <c r="X80" s="1"/>
      <c r="Y80" s="1"/>
      <c r="Z80" s="1"/>
    </row>
    <row r="81">
      <c r="A81" s="17" t="n">
        <v>44048.0</v>
      </c>
      <c r="B81" s="1" t="s">
        <v>94</v>
      </c>
      <c r="C81" s="26" t="s">
        <v>108</v>
      </c>
      <c r="D81" s="26" t="s">
        <v>108</v>
      </c>
      <c r="E81" s="26" t="s">
        <v>108</v>
      </c>
      <c r="F81" s="27" t="s">
        <v>364</v>
      </c>
      <c r="G81" s="26"/>
      <c r="H81" s="25" t="s">
        <v>365</v>
      </c>
      <c r="I81" s="26" t="s">
        <v>108</v>
      </c>
      <c r="J81" s="25" t="s">
        <v>366</v>
      </c>
      <c r="K81" s="26" t="s">
        <v>108</v>
      </c>
      <c r="L81" s="25" t="s">
        <v>367</v>
      </c>
      <c r="M81" s="26"/>
      <c r="N81" s="1"/>
      <c r="O81" s="1"/>
      <c r="P81" s="1"/>
      <c r="Q81" s="1"/>
      <c r="R81" s="1"/>
      <c r="S81" s="1"/>
      <c r="T81" s="1"/>
      <c r="U81" s="1"/>
      <c r="V81" s="1"/>
      <c r="W81" s="1"/>
      <c r="X81" s="1"/>
      <c r="Y81" s="1"/>
      <c r="Z81" s="1"/>
    </row>
    <row r="82">
      <c r="A82" s="17" t="n">
        <v>44049.0</v>
      </c>
      <c r="B82" s="1" t="s">
        <v>96</v>
      </c>
      <c r="C82" s="25" t="s">
        <v>368</v>
      </c>
      <c r="D82" s="49" t="s">
        <v>346</v>
      </c>
      <c r="E82" s="25" t="s">
        <v>216</v>
      </c>
      <c r="F82" s="26" t="s">
        <v>108</v>
      </c>
      <c r="G82" s="26"/>
      <c r="H82" s="26"/>
      <c r="I82" s="25" t="s">
        <v>369</v>
      </c>
      <c r="J82" s="25" t="s">
        <v>370</v>
      </c>
      <c r="K82" s="26"/>
      <c r="L82" s="76"/>
      <c r="M82" s="26"/>
      <c r="N82" s="1"/>
      <c r="O82" s="1"/>
      <c r="P82" s="1"/>
      <c r="Q82" s="1"/>
      <c r="R82" s="1"/>
      <c r="S82" s="1"/>
      <c r="T82" s="1"/>
      <c r="U82" s="1"/>
      <c r="V82" s="1"/>
      <c r="W82" s="1"/>
      <c r="X82" s="1"/>
      <c r="Y82" s="1"/>
      <c r="Z82" s="1"/>
    </row>
    <row r="83">
      <c r="A83" s="17" t="n">
        <v>44050.0</v>
      </c>
      <c r="B83" s="1" t="s">
        <v>98</v>
      </c>
      <c r="C83" s="26" t="s">
        <v>108</v>
      </c>
      <c r="D83" s="49" t="s">
        <v>346</v>
      </c>
      <c r="E83" s="25" t="s">
        <v>219</v>
      </c>
      <c r="F83" s="26" t="s">
        <v>108</v>
      </c>
      <c r="G83" s="26"/>
      <c r="H83" s="26"/>
      <c r="I83" s="25" t="s">
        <v>369</v>
      </c>
      <c r="J83" s="1" t="s">
        <v>118</v>
      </c>
      <c r="K83" s="26"/>
      <c r="L83" s="76"/>
      <c r="M83" s="26"/>
      <c r="N83" s="1"/>
      <c r="O83" s="1"/>
      <c r="P83" s="1"/>
      <c r="Q83" s="1"/>
      <c r="R83" s="1"/>
      <c r="S83" s="1"/>
      <c r="T83" s="1"/>
      <c r="U83" s="1"/>
      <c r="V83" s="1"/>
      <c r="W83" s="1"/>
      <c r="X83" s="1"/>
      <c r="Y83" s="1"/>
      <c r="Z83" s="1"/>
    </row>
    <row r="84" customHeight="1" ht="26.0">
      <c r="A84" s="17" t="n">
        <v>44051.0</v>
      </c>
      <c r="B84" s="1" t="s">
        <v>100</v>
      </c>
      <c r="C84" s="12" t="s">
        <v>371</v>
      </c>
      <c r="D84" s="26" t="s">
        <v>108</v>
      </c>
      <c r="E84" s="26" t="s">
        <v>108</v>
      </c>
      <c r="F84" s="27" t="s">
        <v>372</v>
      </c>
      <c r="G84" s="26"/>
      <c r="H84" s="12" t="s">
        <v>373</v>
      </c>
      <c r="I84" s="26" t="s">
        <v>118</v>
      </c>
      <c r="J84" s="25" t="s">
        <v>374</v>
      </c>
      <c r="K84" s="26"/>
      <c r="L84" s="76"/>
      <c r="M84" s="26"/>
      <c r="N84" s="1"/>
      <c r="O84" s="1"/>
      <c r="P84" s="1"/>
      <c r="Q84" s="1"/>
      <c r="R84" s="1"/>
      <c r="S84" s="1"/>
      <c r="T84" s="1"/>
      <c r="U84" s="1"/>
      <c r="V84" s="1"/>
      <c r="W84" s="1"/>
      <c r="X84" s="1"/>
      <c r="Y84" s="1"/>
      <c r="Z84" s="1"/>
    </row>
    <row r="85">
      <c r="A85" s="17" t="n">
        <v>44052.0</v>
      </c>
      <c r="B85" s="1" t="s">
        <v>101</v>
      </c>
      <c r="C85" s="25" t="s">
        <v>352</v>
      </c>
      <c r="D85" s="26" t="s">
        <v>185</v>
      </c>
      <c r="E85" s="25" t="s">
        <v>216</v>
      </c>
      <c r="F85" s="26" t="s">
        <v>108</v>
      </c>
      <c r="G85" s="26"/>
      <c r="H85" s="25" t="s">
        <v>362</v>
      </c>
      <c r="I85" s="26" t="s">
        <v>118</v>
      </c>
      <c r="J85" s="25" t="s">
        <v>375</v>
      </c>
      <c r="K85" s="26"/>
      <c r="L85" s="25" t="s">
        <v>376</v>
      </c>
      <c r="M85" s="1"/>
      <c r="N85" s="1"/>
      <c r="O85" s="1"/>
      <c r="P85" s="1"/>
      <c r="Q85" s="1"/>
      <c r="R85" s="1"/>
      <c r="S85" s="1"/>
      <c r="T85" s="1"/>
      <c r="U85" s="1"/>
      <c r="V85" s="1"/>
      <c r="W85" s="1"/>
      <c r="X85" s="1"/>
      <c r="Y85" s="1"/>
      <c r="Z85" s="1"/>
    </row>
    <row r="86">
      <c r="A86" s="41"/>
      <c r="B86" s="41"/>
      <c r="C86" s="18" t="s">
        <v>114</v>
      </c>
      <c r="D86" s="18" t="s">
        <v>114</v>
      </c>
      <c r="E86" s="18" t="s">
        <v>114</v>
      </c>
      <c r="F86" s="18" t="s">
        <v>114</v>
      </c>
      <c r="G86" s="29" t="s">
        <v>115</v>
      </c>
      <c r="H86" s="18" t="s">
        <v>114</v>
      </c>
      <c r="I86" s="29" t="s">
        <v>115</v>
      </c>
      <c r="J86" s="18" t="s">
        <v>114</v>
      </c>
      <c r="K86" s="29" t="s">
        <v>115</v>
      </c>
      <c r="L86" s="29" t="s">
        <v>115</v>
      </c>
      <c r="M86" s="29" t="s">
        <v>115</v>
      </c>
      <c r="N86" s="41"/>
      <c r="O86" s="41"/>
      <c r="P86" s="41"/>
      <c r="Q86" s="41"/>
      <c r="R86" s="41"/>
      <c r="S86" s="41"/>
      <c r="T86" s="41"/>
      <c r="U86" s="41"/>
      <c r="V86" s="41"/>
      <c r="W86" s="41"/>
      <c r="X86" s="41"/>
      <c r="Y86" s="41"/>
      <c r="Z86" s="41"/>
    </row>
    <row r="87">
      <c r="A87" s="41" t="s">
        <v>198</v>
      </c>
      <c r="B87" s="41"/>
      <c r="C87" s="75" t="n">
        <v>4.0</v>
      </c>
      <c r="D87" s="75" t="n">
        <v>4.0</v>
      </c>
      <c r="E87" s="75" t="n">
        <v>4.0</v>
      </c>
      <c r="F87" s="75" t="n">
        <v>4.0</v>
      </c>
      <c r="G87" s="75" t="n">
        <v>-0.6</v>
      </c>
      <c r="H87" s="75" t="n">
        <v>4.0</v>
      </c>
      <c r="I87" s="75" t="n">
        <v>-0.2</v>
      </c>
      <c r="J87" s="75" t="n">
        <v>4.0</v>
      </c>
      <c r="K87" s="77" t="n">
        <v>-0.6</v>
      </c>
      <c r="L87" s="77" t="n">
        <v>0.2</v>
      </c>
      <c r="M87" s="77" t="n">
        <v>-1.0</v>
      </c>
      <c r="N87" s="41"/>
      <c r="O87" s="41"/>
      <c r="P87" s="41"/>
      <c r="Q87" s="41"/>
      <c r="R87" s="41"/>
      <c r="S87" s="41"/>
      <c r="T87" s="41"/>
      <c r="U87" s="41"/>
      <c r="V87" s="41"/>
      <c r="W87" s="41"/>
      <c r="X87" s="41"/>
      <c r="Y87" s="41"/>
      <c r="Z87" s="41"/>
    </row>
    <row r="88">
      <c r="A88" s="41"/>
      <c r="B88" s="41"/>
      <c r="C88" s="53"/>
      <c r="D88" s="53"/>
      <c r="E88" s="53"/>
      <c r="F88" s="53"/>
      <c r="G88" s="53"/>
      <c r="H88" s="53"/>
      <c r="I88" s="53"/>
      <c r="J88" s="53"/>
      <c r="K88" s="41"/>
      <c r="L88" s="41"/>
      <c r="M88" s="41"/>
      <c r="N88" s="41"/>
      <c r="O88" s="41"/>
      <c r="P88" s="41"/>
      <c r="Q88" s="41"/>
      <c r="R88" s="41"/>
      <c r="S88" s="41"/>
      <c r="T88" s="41"/>
      <c r="U88" s="41"/>
      <c r="V88" s="41"/>
      <c r="W88" s="41"/>
      <c r="X88" s="41"/>
      <c r="Y88" s="41"/>
      <c r="Z88" s="41"/>
    </row>
    <row r="89">
      <c r="A89" s="41"/>
      <c r="B89" s="41"/>
      <c r="C89" s="53"/>
      <c r="D89" s="53"/>
      <c r="E89" s="53"/>
      <c r="F89" s="53"/>
      <c r="G89" s="53"/>
      <c r="H89" s="53"/>
      <c r="I89" s="53"/>
      <c r="J89" s="53"/>
      <c r="K89" s="41"/>
      <c r="L89" s="41"/>
      <c r="M89" s="41"/>
      <c r="N89" s="41"/>
      <c r="O89" s="41"/>
      <c r="P89" s="41"/>
      <c r="Q89" s="41"/>
      <c r="R89" s="41"/>
      <c r="S89" s="41"/>
      <c r="T89" s="41"/>
      <c r="U89" s="41"/>
      <c r="V89" s="41"/>
      <c r="W89" s="41"/>
      <c r="X89" s="41"/>
      <c r="Y89" s="41"/>
      <c r="Z89" s="41"/>
    </row>
    <row r="90">
      <c r="A90" s="1" t="s">
        <v>0</v>
      </c>
      <c r="B90" s="1" t="s">
        <v>102</v>
      </c>
      <c r="C90" s="1" t="s">
        <v>2</v>
      </c>
      <c r="D90" s="1" t="s">
        <v>4</v>
      </c>
      <c r="E90" s="1" t="s">
        <v>230</v>
      </c>
      <c r="F90" s="1" t="s">
        <v>3</v>
      </c>
      <c r="G90" s="1" t="s">
        <v>355</v>
      </c>
      <c r="H90" s="1" t="s">
        <v>377</v>
      </c>
      <c r="I90" s="1" t="s">
        <v>103</v>
      </c>
      <c r="J90" s="1" t="s">
        <v>36</v>
      </c>
      <c r="K90" s="1"/>
      <c r="L90" s="1"/>
      <c r="M90" s="1"/>
      <c r="N90" s="1"/>
      <c r="O90" s="1"/>
      <c r="P90" s="1"/>
      <c r="Q90" s="1"/>
      <c r="R90" s="1"/>
      <c r="S90" s="1"/>
      <c r="T90" s="1"/>
      <c r="U90" s="1"/>
      <c r="V90" s="1"/>
      <c r="W90" s="1"/>
      <c r="X90" s="1"/>
      <c r="Y90" s="1"/>
      <c r="Z90" s="1"/>
    </row>
    <row r="91">
      <c r="A91" s="3" t="n">
        <v>44053.0</v>
      </c>
      <c r="B91" s="1" t="s">
        <v>90</v>
      </c>
      <c r="C91" s="25" t="s">
        <v>352</v>
      </c>
      <c r="D91" s="1"/>
      <c r="E91" s="1" t="s">
        <v>367</v>
      </c>
      <c r="F91" s="1"/>
      <c r="G91" s="25" t="s">
        <v>378</v>
      </c>
      <c r="H91" s="1"/>
      <c r="I91" s="25" t="s">
        <v>379</v>
      </c>
      <c r="J91" s="1" t="s">
        <v>380</v>
      </c>
      <c r="K91" s="1"/>
      <c r="L91" s="1"/>
      <c r="M91" s="1"/>
      <c r="N91" s="1"/>
      <c r="O91" s="1"/>
      <c r="P91" s="1"/>
      <c r="Q91" s="1"/>
      <c r="R91" s="1"/>
      <c r="S91" s="1"/>
      <c r="T91" s="1"/>
      <c r="U91" s="1"/>
      <c r="V91" s="1"/>
      <c r="W91" s="1"/>
      <c r="X91" s="1"/>
      <c r="Y91" s="1"/>
      <c r="Z91" s="1"/>
    </row>
    <row r="92">
      <c r="A92" s="3" t="n">
        <v>44054.0</v>
      </c>
      <c r="B92" s="1" t="s">
        <v>92</v>
      </c>
      <c r="C92" s="1" t="s">
        <v>118</v>
      </c>
      <c r="D92" s="25" t="s">
        <v>220</v>
      </c>
      <c r="E92" s="1"/>
      <c r="F92" s="25" t="s">
        <v>381</v>
      </c>
      <c r="G92" s="25" t="s">
        <v>382</v>
      </c>
      <c r="H92" s="1"/>
      <c r="I92" s="25" t="s">
        <v>383</v>
      </c>
      <c r="J92" s="1" t="s">
        <v>108</v>
      </c>
      <c r="K92" s="1"/>
      <c r="L92" s="1"/>
      <c r="M92" s="1"/>
      <c r="N92" s="1"/>
      <c r="O92" s="1"/>
      <c r="P92" s="1"/>
      <c r="Q92" s="1"/>
      <c r="R92" s="1"/>
      <c r="S92" s="1"/>
      <c r="T92" s="1"/>
      <c r="U92" s="1"/>
      <c r="V92" s="1"/>
      <c r="W92" s="1"/>
      <c r="X92" s="1"/>
      <c r="Y92" s="1"/>
      <c r="Z92" s="1"/>
    </row>
    <row r="93">
      <c r="A93" s="3" t="n">
        <v>44055.0</v>
      </c>
      <c r="B93" s="1" t="s">
        <v>94</v>
      </c>
      <c r="C93" s="25" t="s">
        <v>384</v>
      </c>
      <c r="D93" s="25" t="s">
        <v>219</v>
      </c>
      <c r="E93" s="1"/>
      <c r="F93" s="1"/>
      <c r="G93" s="1" t="s">
        <v>108</v>
      </c>
      <c r="H93" s="1"/>
      <c r="I93" s="1" t="s">
        <v>385</v>
      </c>
      <c r="J93" s="78" t="s">
        <v>386</v>
      </c>
      <c r="K93" s="1"/>
      <c r="L93" s="1"/>
      <c r="M93" s="1"/>
      <c r="N93" s="1"/>
      <c r="O93" s="1"/>
      <c r="P93" s="1"/>
      <c r="Q93" s="1"/>
      <c r="R93" s="1"/>
      <c r="S93" s="1"/>
      <c r="T93" s="1"/>
      <c r="U93" s="1"/>
      <c r="V93" s="1"/>
      <c r="W93" s="1"/>
      <c r="X93" s="1"/>
      <c r="Y93" s="1"/>
      <c r="Z93" s="1"/>
    </row>
    <row r="94">
      <c r="A94" s="3" t="n">
        <v>44056.0</v>
      </c>
      <c r="B94" s="1" t="s">
        <v>96</v>
      </c>
      <c r="C94" s="25" t="s">
        <v>387</v>
      </c>
      <c r="D94" s="1"/>
      <c r="E94" s="1"/>
      <c r="F94" s="25" t="s">
        <v>381</v>
      </c>
      <c r="G94" s="1" t="s">
        <v>108</v>
      </c>
      <c r="H94" s="1"/>
      <c r="I94" s="1" t="s">
        <v>388</v>
      </c>
      <c r="J94" s="1" t="s">
        <v>108</v>
      </c>
      <c r="K94" s="1"/>
      <c r="L94" s="1"/>
      <c r="M94" s="1"/>
      <c r="N94" s="1"/>
      <c r="O94" s="1"/>
      <c r="P94" s="1"/>
      <c r="Q94" s="1"/>
      <c r="R94" s="1"/>
      <c r="S94" s="1"/>
      <c r="T94" s="1"/>
      <c r="U94" s="1"/>
      <c r="V94" s="1"/>
      <c r="W94" s="1"/>
      <c r="X94" s="1"/>
      <c r="Y94" s="1"/>
      <c r="Z94" s="1"/>
    </row>
    <row r="95">
      <c r="A95" s="3" t="n">
        <v>44057.0</v>
      </c>
      <c r="B95" s="1" t="s">
        <v>98</v>
      </c>
      <c r="C95" s="25" t="s">
        <v>389</v>
      </c>
      <c r="D95" s="1"/>
      <c r="E95" s="1"/>
      <c r="F95" s="1"/>
      <c r="G95" s="1" t="s">
        <v>108</v>
      </c>
      <c r="H95" s="1"/>
      <c r="I95" s="1" t="s">
        <v>390</v>
      </c>
      <c r="J95" s="1" t="s">
        <v>108</v>
      </c>
      <c r="K95" s="1"/>
      <c r="L95" s="1"/>
      <c r="M95" s="1"/>
      <c r="N95" s="1"/>
      <c r="O95" s="1"/>
      <c r="P95" s="1"/>
      <c r="Q95" s="1"/>
      <c r="R95" s="1"/>
      <c r="S95" s="1"/>
      <c r="T95" s="1"/>
      <c r="U95" s="1"/>
      <c r="V95" s="1"/>
      <c r="W95" s="1"/>
      <c r="X95" s="1"/>
      <c r="Y95" s="1"/>
      <c r="Z95" s="1"/>
    </row>
    <row r="96">
      <c r="A96" s="3" t="n">
        <v>44058.0</v>
      </c>
      <c r="B96" s="1" t="s">
        <v>100</v>
      </c>
      <c r="C96" s="1" t="s">
        <v>391</v>
      </c>
      <c r="D96" s="1" t="s">
        <v>392</v>
      </c>
      <c r="E96" s="1" t="s">
        <v>393</v>
      </c>
      <c r="F96" s="25" t="s">
        <v>320</v>
      </c>
      <c r="G96" s="1" t="s">
        <v>108</v>
      </c>
      <c r="H96" s="1"/>
      <c r="I96" s="1" t="s">
        <v>118</v>
      </c>
      <c r="J96" s="1" t="s">
        <v>394</v>
      </c>
      <c r="K96" s="1"/>
      <c r="L96" s="1"/>
      <c r="M96" s="1"/>
      <c r="N96" s="1"/>
      <c r="O96" s="1"/>
      <c r="P96" s="1"/>
      <c r="Q96" s="1"/>
      <c r="R96" s="1"/>
      <c r="S96" s="1"/>
      <c r="T96" s="1"/>
      <c r="U96" s="1"/>
      <c r="V96" s="1"/>
      <c r="W96" s="1"/>
      <c r="X96" s="1"/>
      <c r="Y96" s="1"/>
      <c r="Z96" s="1"/>
    </row>
    <row r="97">
      <c r="A97" s="3" t="n">
        <v>44059.0</v>
      </c>
      <c r="B97" s="1" t="s">
        <v>101</v>
      </c>
      <c r="C97" s="1" t="s">
        <v>395</v>
      </c>
      <c r="D97" s="1" t="s">
        <v>216</v>
      </c>
      <c r="E97" s="1"/>
      <c r="F97" s="1"/>
      <c r="G97" s="1" t="s">
        <v>216</v>
      </c>
      <c r="H97" s="1"/>
      <c r="I97" s="1" t="s">
        <v>118</v>
      </c>
      <c r="J97" s="1" t="s">
        <v>108</v>
      </c>
      <c r="K97" s="1"/>
      <c r="L97" s="1"/>
      <c r="M97" s="1"/>
      <c r="N97" s="1"/>
      <c r="O97" s="1"/>
      <c r="P97" s="1"/>
      <c r="Q97" s="1"/>
      <c r="R97" s="1"/>
      <c r="S97" s="1"/>
      <c r="T97" s="1"/>
      <c r="U97" s="1"/>
      <c r="V97" s="1"/>
      <c r="W97" s="1"/>
      <c r="X97" s="1"/>
      <c r="Y97" s="1"/>
      <c r="Z97" s="1"/>
    </row>
    <row r="98">
      <c r="A98" s="41"/>
      <c r="B98" s="41"/>
      <c r="C98" s="53"/>
      <c r="D98" s="53"/>
      <c r="E98" s="53"/>
      <c r="F98" s="53"/>
      <c r="G98" s="53"/>
      <c r="H98" s="53"/>
      <c r="I98" s="53"/>
      <c r="J98" s="53"/>
      <c r="K98" s="41"/>
      <c r="L98" s="41"/>
      <c r="M98" s="41"/>
      <c r="N98" s="41"/>
      <c r="O98" s="41"/>
      <c r="P98" s="41"/>
      <c r="Q98" s="41"/>
      <c r="R98" s="41"/>
      <c r="S98" s="41"/>
      <c r="T98" s="41"/>
      <c r="U98" s="41"/>
      <c r="V98" s="41"/>
      <c r="W98" s="41"/>
      <c r="X98" s="41"/>
      <c r="Y98" s="41"/>
      <c r="Z98" s="41"/>
    </row>
    <row r="99">
      <c r="A99" s="41"/>
      <c r="B99" s="41"/>
      <c r="C99" s="53"/>
      <c r="D99" s="53"/>
      <c r="E99" s="53"/>
      <c r="F99" s="53"/>
      <c r="G99" s="53"/>
      <c r="H99" s="53"/>
      <c r="I99" s="53"/>
      <c r="J99" s="53"/>
      <c r="K99" s="41"/>
      <c r="L99" s="41"/>
      <c r="M99" s="41"/>
      <c r="N99" s="41"/>
      <c r="O99" s="41"/>
      <c r="P99" s="41"/>
      <c r="Q99" s="41"/>
      <c r="R99" s="41"/>
      <c r="S99" s="41"/>
      <c r="T99" s="41"/>
      <c r="U99" s="41"/>
      <c r="V99" s="41"/>
      <c r="W99" s="41"/>
      <c r="X99" s="41"/>
      <c r="Y99" s="41"/>
      <c r="Z99" s="41"/>
    </row>
    <row r="100">
      <c r="A100" s="1" t="s">
        <v>0</v>
      </c>
      <c r="B100" s="1" t="s">
        <v>102</v>
      </c>
      <c r="C100" s="1" t="s">
        <v>2</v>
      </c>
      <c r="D100" s="1" t="s">
        <v>3</v>
      </c>
      <c r="E100" s="1" t="s">
        <v>103</v>
      </c>
      <c r="F100" s="1" t="s">
        <v>230</v>
      </c>
      <c r="G100" s="53"/>
      <c r="H100" s="53"/>
      <c r="I100" s="53"/>
      <c r="J100" s="53"/>
      <c r="K100" s="41"/>
      <c r="L100" s="41"/>
      <c r="M100" s="41"/>
      <c r="N100" s="41"/>
      <c r="O100" s="41"/>
      <c r="P100" s="41"/>
      <c r="Q100" s="41"/>
      <c r="R100" s="41"/>
      <c r="S100" s="41"/>
      <c r="T100" s="41"/>
      <c r="U100" s="41"/>
      <c r="V100" s="41"/>
      <c r="W100" s="41"/>
      <c r="X100" s="41"/>
      <c r="Y100" s="41"/>
      <c r="Z100" s="41"/>
    </row>
    <row r="101">
      <c r="A101" s="3" t="n">
        <v>44060.0</v>
      </c>
      <c r="B101" s="5" t="s">
        <v>90</v>
      </c>
      <c r="C101" s="25" t="s">
        <v>396</v>
      </c>
      <c r="D101" s="1"/>
      <c r="E101" s="1" t="s">
        <v>118</v>
      </c>
      <c r="F101" s="1" t="s">
        <v>397</v>
      </c>
      <c r="G101" s="53"/>
      <c r="H101" s="53"/>
      <c r="I101" s="53"/>
      <c r="J101" s="53"/>
      <c r="K101" s="41"/>
      <c r="L101" s="41"/>
      <c r="M101" s="41"/>
      <c r="N101" s="41"/>
      <c r="O101" s="41"/>
      <c r="P101" s="41"/>
      <c r="Q101" s="41"/>
      <c r="R101" s="41"/>
      <c r="S101" s="41"/>
      <c r="T101" s="41"/>
      <c r="U101" s="41"/>
      <c r="V101" s="41"/>
      <c r="W101" s="41"/>
      <c r="X101" s="41"/>
      <c r="Y101" s="41"/>
      <c r="Z101" s="41"/>
    </row>
    <row r="102">
      <c r="A102" s="3" t="n">
        <v>44061.0</v>
      </c>
      <c r="B102" s="5" t="s">
        <v>92</v>
      </c>
      <c r="C102" s="25" t="s">
        <v>398</v>
      </c>
      <c r="D102" s="1"/>
      <c r="E102" s="1" t="s">
        <v>118</v>
      </c>
      <c r="F102" s="1" t="s">
        <v>399</v>
      </c>
      <c r="G102" s="53"/>
      <c r="H102" s="53"/>
      <c r="I102" s="53"/>
      <c r="J102" s="53"/>
      <c r="K102" s="41"/>
      <c r="L102" s="41"/>
      <c r="M102" s="41"/>
      <c r="N102" s="41"/>
      <c r="O102" s="41"/>
      <c r="P102" s="41"/>
      <c r="Q102" s="41"/>
      <c r="R102" s="41"/>
      <c r="S102" s="41"/>
      <c r="T102" s="41"/>
      <c r="U102" s="41"/>
      <c r="V102" s="41"/>
      <c r="W102" s="41"/>
      <c r="X102" s="41"/>
      <c r="Y102" s="41"/>
      <c r="Z102" s="41"/>
    </row>
    <row r="103">
      <c r="A103" s="3" t="n">
        <v>44062.0</v>
      </c>
      <c r="B103" s="5" t="s">
        <v>94</v>
      </c>
      <c r="C103" s="25" t="s">
        <v>400</v>
      </c>
      <c r="D103" s="49" t="s">
        <v>346</v>
      </c>
      <c r="E103" s="1" t="s">
        <v>118</v>
      </c>
      <c r="F103" s="1" t="s">
        <v>401</v>
      </c>
      <c r="G103" s="53"/>
      <c r="H103" s="53"/>
      <c r="I103" s="53"/>
      <c r="J103" s="53"/>
      <c r="K103" s="41"/>
      <c r="L103" s="41"/>
      <c r="M103" s="41"/>
      <c r="N103" s="41"/>
      <c r="O103" s="41"/>
      <c r="P103" s="41"/>
      <c r="Q103" s="41"/>
      <c r="R103" s="41"/>
      <c r="S103" s="41"/>
      <c r="T103" s="41"/>
      <c r="U103" s="41"/>
      <c r="V103" s="41"/>
      <c r="W103" s="41"/>
      <c r="X103" s="41"/>
      <c r="Y103" s="41"/>
      <c r="Z103" s="41"/>
    </row>
    <row r="104" customHeight="1" ht="26.0">
      <c r="A104" s="3" t="n">
        <v>44063.0</v>
      </c>
      <c r="B104" s="5" t="s">
        <v>96</v>
      </c>
      <c r="C104" s="49" t="s">
        <v>402</v>
      </c>
      <c r="D104" s="1"/>
      <c r="E104" s="1" t="s">
        <v>118</v>
      </c>
      <c r="F104" s="1"/>
      <c r="G104" s="53"/>
      <c r="H104" s="53"/>
      <c r="I104" s="53"/>
      <c r="J104" s="53"/>
      <c r="K104" s="41"/>
      <c r="L104" s="41"/>
      <c r="M104" s="41"/>
      <c r="N104" s="41"/>
      <c r="O104" s="41"/>
      <c r="P104" s="41"/>
      <c r="Q104" s="41"/>
      <c r="R104" s="41"/>
      <c r="S104" s="41"/>
      <c r="T104" s="41"/>
      <c r="U104" s="41"/>
      <c r="V104" s="41"/>
      <c r="W104" s="41"/>
      <c r="X104" s="41"/>
      <c r="Y104" s="41"/>
      <c r="Z104" s="41"/>
    </row>
    <row r="105" customHeight="1" ht="26.0">
      <c r="A105" s="3" t="n">
        <v>44064.0</v>
      </c>
      <c r="B105" s="5" t="s">
        <v>98</v>
      </c>
      <c r="C105" s="49" t="s">
        <v>403</v>
      </c>
      <c r="D105" s="25" t="s">
        <v>404</v>
      </c>
      <c r="E105" s="79" t="s">
        <v>363</v>
      </c>
      <c r="F105" s="1" t="s">
        <v>401</v>
      </c>
      <c r="G105" s="53"/>
      <c r="H105" s="53"/>
      <c r="I105" s="53"/>
      <c r="J105" s="53"/>
      <c r="K105" s="41"/>
      <c r="L105" s="41"/>
      <c r="M105" s="41"/>
      <c r="N105" s="41"/>
      <c r="O105" s="41"/>
      <c r="P105" s="41"/>
      <c r="Q105" s="41"/>
      <c r="R105" s="41"/>
      <c r="S105" s="41"/>
      <c r="T105" s="41"/>
      <c r="U105" s="41"/>
      <c r="V105" s="41"/>
      <c r="W105" s="41"/>
      <c r="X105" s="41"/>
      <c r="Y105" s="41"/>
      <c r="Z105" s="41"/>
    </row>
    <row r="106" customHeight="1" ht="26.0">
      <c r="A106" s="3" t="n">
        <v>44065.0</v>
      </c>
      <c r="B106" s="5" t="s">
        <v>100</v>
      </c>
      <c r="C106" s="49" t="s">
        <v>405</v>
      </c>
      <c r="D106" s="1"/>
      <c r="E106" s="1" t="s">
        <v>118</v>
      </c>
      <c r="F106" s="1"/>
      <c r="G106" s="53"/>
      <c r="H106" s="53"/>
      <c r="I106" s="53"/>
      <c r="J106" s="53"/>
      <c r="K106" s="41"/>
      <c r="L106" s="41"/>
      <c r="M106" s="41"/>
      <c r="N106" s="41"/>
      <c r="O106" s="41"/>
      <c r="P106" s="41"/>
      <c r="Q106" s="41"/>
      <c r="R106" s="41"/>
      <c r="S106" s="41"/>
      <c r="T106" s="41"/>
      <c r="U106" s="41"/>
      <c r="V106" s="41"/>
      <c r="W106" s="41"/>
      <c r="X106" s="41"/>
      <c r="Y106" s="41"/>
      <c r="Z106" s="41"/>
    </row>
    <row r="107">
      <c r="A107" s="3" t="n">
        <v>44066.0</v>
      </c>
      <c r="B107" s="5" t="s">
        <v>101</v>
      </c>
      <c r="C107" s="1"/>
      <c r="D107" s="1"/>
      <c r="E107" s="1"/>
      <c r="F107" s="1" t="s">
        <v>401</v>
      </c>
      <c r="G107" s="53"/>
      <c r="H107" s="53"/>
      <c r="I107" s="53"/>
      <c r="J107" s="53"/>
      <c r="K107" s="41"/>
      <c r="L107" s="41"/>
      <c r="M107" s="41"/>
      <c r="N107" s="41"/>
      <c r="O107" s="41"/>
      <c r="P107" s="41"/>
      <c r="Q107" s="41"/>
      <c r="R107" s="41"/>
      <c r="S107" s="41"/>
      <c r="T107" s="41"/>
      <c r="U107" s="41"/>
      <c r="V107" s="41"/>
      <c r="W107" s="41"/>
      <c r="X107" s="41"/>
      <c r="Y107" s="41"/>
      <c r="Z107" s="41"/>
    </row>
    <row r="108">
      <c r="A108" s="41"/>
      <c r="B108" s="41"/>
      <c r="C108" s="53"/>
      <c r="D108" s="53"/>
      <c r="E108" s="53"/>
      <c r="F108" s="53"/>
      <c r="G108" s="53"/>
      <c r="H108" s="53"/>
      <c r="I108" s="53"/>
      <c r="J108" s="53"/>
      <c r="K108" s="41"/>
      <c r="L108" s="41"/>
      <c r="M108" s="41"/>
      <c r="N108" s="41"/>
      <c r="O108" s="41"/>
      <c r="P108" s="41"/>
      <c r="Q108" s="41"/>
      <c r="R108" s="41"/>
      <c r="S108" s="41"/>
      <c r="T108" s="41"/>
      <c r="U108" s="41"/>
      <c r="V108" s="41"/>
      <c r="W108" s="41"/>
      <c r="X108" s="41"/>
      <c r="Y108" s="41"/>
      <c r="Z108" s="41"/>
    </row>
    <row r="109">
      <c r="A109" s="41"/>
      <c r="B109" s="41"/>
      <c r="C109" s="53"/>
      <c r="D109" s="53"/>
      <c r="E109" s="53"/>
      <c r="F109" s="53"/>
      <c r="G109" s="53"/>
      <c r="H109" s="53"/>
      <c r="I109" s="53"/>
      <c r="J109" s="53"/>
      <c r="K109" s="41"/>
      <c r="L109" s="41"/>
      <c r="M109" s="41"/>
      <c r="N109" s="41"/>
      <c r="O109" s="41"/>
      <c r="P109" s="41"/>
      <c r="Q109" s="41"/>
      <c r="R109" s="41"/>
      <c r="S109" s="41"/>
      <c r="T109" s="41"/>
      <c r="U109" s="41"/>
      <c r="V109" s="41"/>
      <c r="W109" s="41"/>
      <c r="X109" s="41"/>
      <c r="Y109" s="41"/>
      <c r="Z109" s="41"/>
    </row>
    <row r="110">
      <c r="A110" s="41"/>
      <c r="B110" s="41"/>
      <c r="C110" s="53"/>
      <c r="D110" s="53"/>
      <c r="E110" s="53"/>
      <c r="F110" s="53"/>
      <c r="G110" s="53"/>
      <c r="H110" s="53"/>
      <c r="I110" s="53"/>
      <c r="J110" s="53"/>
      <c r="K110" s="41"/>
      <c r="L110" s="41"/>
      <c r="M110" s="41"/>
      <c r="N110" s="41"/>
      <c r="O110" s="41"/>
      <c r="P110" s="41"/>
      <c r="Q110" s="41"/>
      <c r="R110" s="41"/>
      <c r="S110" s="41"/>
      <c r="T110" s="41"/>
      <c r="U110" s="41"/>
      <c r="V110" s="41"/>
      <c r="W110" s="41"/>
      <c r="X110" s="41"/>
      <c r="Y110" s="41"/>
      <c r="Z110" s="41"/>
    </row>
    <row r="111">
      <c r="A111" s="41"/>
      <c r="B111" s="41"/>
      <c r="C111" s="53"/>
      <c r="D111" s="53"/>
      <c r="E111" s="53"/>
      <c r="F111" s="53"/>
      <c r="G111" s="53"/>
      <c r="H111" s="53"/>
      <c r="I111" s="53"/>
      <c r="J111" s="53"/>
      <c r="K111" s="41"/>
      <c r="L111" s="41"/>
      <c r="M111" s="41"/>
      <c r="N111" s="41"/>
      <c r="O111" s="41"/>
      <c r="P111" s="41"/>
      <c r="Q111" s="41"/>
      <c r="R111" s="41"/>
      <c r="S111" s="41"/>
      <c r="T111" s="41"/>
      <c r="U111" s="41"/>
      <c r="V111" s="41"/>
      <c r="W111" s="41"/>
      <c r="X111" s="41"/>
      <c r="Y111" s="41"/>
      <c r="Z111" s="41"/>
    </row>
    <row r="112">
      <c r="A112" s="41"/>
      <c r="B112" s="41"/>
      <c r="C112" s="53"/>
      <c r="D112" s="53"/>
      <c r="E112" s="53"/>
      <c r="F112" s="53"/>
      <c r="G112" s="53"/>
      <c r="H112" s="53"/>
      <c r="I112" s="53"/>
      <c r="J112" s="53"/>
      <c r="K112" s="41"/>
      <c r="L112" s="41"/>
      <c r="M112" s="41"/>
      <c r="N112" s="41"/>
      <c r="O112" s="41"/>
      <c r="P112" s="41"/>
      <c r="Q112" s="41"/>
      <c r="R112" s="41"/>
      <c r="S112" s="41"/>
      <c r="T112" s="41"/>
      <c r="U112" s="41"/>
      <c r="V112" s="41"/>
      <c r="W112" s="41"/>
      <c r="X112" s="41"/>
      <c r="Y112" s="41"/>
      <c r="Z112" s="41"/>
    </row>
    <row r="113">
      <c r="A113" s="41"/>
      <c r="B113" s="41"/>
      <c r="C113" s="53"/>
      <c r="D113" s="53"/>
      <c r="E113" s="53"/>
      <c r="F113" s="53"/>
      <c r="G113" s="53"/>
      <c r="H113" s="53"/>
      <c r="I113" s="53"/>
      <c r="J113" s="53"/>
      <c r="K113" s="41"/>
      <c r="L113" s="41"/>
      <c r="M113" s="41"/>
      <c r="N113" s="41"/>
      <c r="O113" s="41"/>
      <c r="P113" s="41"/>
      <c r="Q113" s="41"/>
      <c r="R113" s="41"/>
      <c r="S113" s="41"/>
      <c r="T113" s="41"/>
      <c r="U113" s="41"/>
      <c r="V113" s="41"/>
      <c r="W113" s="41"/>
      <c r="X113" s="41"/>
      <c r="Y113" s="41"/>
      <c r="Z113" s="41"/>
    </row>
    <row r="114">
      <c r="A114" s="41"/>
      <c r="B114" s="41"/>
      <c r="C114" s="53"/>
      <c r="D114" s="53"/>
      <c r="E114" s="53"/>
      <c r="F114" s="53"/>
      <c r="G114" s="53"/>
      <c r="H114" s="53"/>
      <c r="I114" s="53"/>
      <c r="J114" s="53"/>
      <c r="K114" s="41"/>
      <c r="L114" s="41"/>
      <c r="M114" s="41"/>
      <c r="N114" s="41"/>
      <c r="O114" s="41"/>
      <c r="P114" s="41"/>
      <c r="Q114" s="41"/>
      <c r="R114" s="41"/>
      <c r="S114" s="41"/>
      <c r="T114" s="41"/>
      <c r="U114" s="41"/>
      <c r="V114" s="41"/>
      <c r="W114" s="41"/>
      <c r="X114" s="41"/>
      <c r="Y114" s="41"/>
      <c r="Z114" s="41"/>
    </row>
    <row r="115">
      <c r="A115" s="41"/>
      <c r="B115" s="41"/>
      <c r="C115" s="53"/>
      <c r="D115" s="53"/>
      <c r="E115" s="53"/>
      <c r="F115" s="53"/>
      <c r="G115" s="53"/>
      <c r="H115" s="53"/>
      <c r="I115" s="53"/>
      <c r="J115" s="53"/>
      <c r="K115" s="41"/>
      <c r="L115" s="41"/>
      <c r="M115" s="41"/>
      <c r="N115" s="41"/>
      <c r="O115" s="41"/>
      <c r="P115" s="41"/>
      <c r="Q115" s="41"/>
      <c r="R115" s="41"/>
      <c r="S115" s="41"/>
      <c r="T115" s="41"/>
      <c r="U115" s="41"/>
      <c r="V115" s="41"/>
      <c r="W115" s="41"/>
      <c r="X115" s="41"/>
      <c r="Y115" s="41"/>
      <c r="Z115" s="41"/>
    </row>
    <row r="116">
      <c r="A116" s="41"/>
      <c r="B116" s="41"/>
      <c r="C116" s="53"/>
      <c r="D116" s="53"/>
      <c r="E116" s="53"/>
      <c r="F116" s="53"/>
      <c r="G116" s="53"/>
      <c r="H116" s="53"/>
      <c r="I116" s="53"/>
      <c r="J116" s="53"/>
      <c r="K116" s="41"/>
      <c r="L116" s="41"/>
      <c r="M116" s="41"/>
      <c r="N116" s="41"/>
      <c r="O116" s="41"/>
      <c r="P116" s="41"/>
      <c r="Q116" s="41"/>
      <c r="R116" s="41"/>
      <c r="S116" s="41"/>
      <c r="T116" s="41"/>
      <c r="U116" s="41"/>
      <c r="V116" s="41"/>
      <c r="W116" s="41"/>
      <c r="X116" s="41"/>
      <c r="Y116" s="41"/>
      <c r="Z116" s="41"/>
    </row>
    <row r="117">
      <c r="A117" s="41"/>
      <c r="B117" s="41"/>
      <c r="C117" s="53"/>
      <c r="D117" s="53"/>
      <c r="E117" s="53"/>
      <c r="F117" s="53"/>
      <c r="G117" s="53"/>
      <c r="H117" s="53"/>
      <c r="I117" s="53"/>
      <c r="J117" s="53"/>
      <c r="K117" s="41"/>
      <c r="L117" s="41"/>
      <c r="M117" s="41"/>
      <c r="N117" s="41"/>
      <c r="O117" s="41"/>
      <c r="P117" s="41"/>
      <c r="Q117" s="41"/>
      <c r="R117" s="41"/>
      <c r="S117" s="41"/>
      <c r="T117" s="41"/>
      <c r="U117" s="41"/>
      <c r="V117" s="41"/>
      <c r="W117" s="41"/>
      <c r="X117" s="41"/>
      <c r="Y117" s="41"/>
      <c r="Z117" s="41"/>
    </row>
    <row r="118">
      <c r="A118" s="41"/>
      <c r="B118" s="41"/>
      <c r="C118" s="53"/>
      <c r="D118" s="53"/>
      <c r="E118" s="53"/>
      <c r="F118" s="53"/>
      <c r="G118" s="53"/>
      <c r="H118" s="53"/>
      <c r="I118" s="53"/>
      <c r="J118" s="53"/>
      <c r="K118" s="41"/>
      <c r="L118" s="41"/>
      <c r="M118" s="41"/>
      <c r="N118" s="41"/>
      <c r="O118" s="41"/>
      <c r="P118" s="41"/>
      <c r="Q118" s="41"/>
      <c r="R118" s="41"/>
      <c r="S118" s="41"/>
      <c r="T118" s="41"/>
      <c r="U118" s="41"/>
      <c r="V118" s="41"/>
      <c r="W118" s="41"/>
      <c r="X118" s="41"/>
      <c r="Y118" s="41"/>
      <c r="Z118" s="41"/>
    </row>
    <row r="119">
      <c r="A119" s="41"/>
      <c r="B119" s="41"/>
      <c r="C119" s="53"/>
      <c r="D119" s="53"/>
      <c r="E119" s="53"/>
      <c r="F119" s="53"/>
      <c r="G119" s="53"/>
      <c r="H119" s="53"/>
      <c r="I119" s="53"/>
      <c r="J119" s="53"/>
      <c r="K119" s="41"/>
      <c r="L119" s="41"/>
      <c r="M119" s="41"/>
      <c r="N119" s="41"/>
      <c r="O119" s="41"/>
      <c r="P119" s="41"/>
      <c r="Q119" s="41"/>
      <c r="R119" s="41"/>
      <c r="S119" s="41"/>
      <c r="T119" s="41"/>
      <c r="U119" s="41"/>
      <c r="V119" s="41"/>
      <c r="W119" s="41"/>
      <c r="X119" s="41"/>
      <c r="Y119" s="41"/>
      <c r="Z119" s="41"/>
    </row>
    <row r="120">
      <c r="A120" s="41"/>
      <c r="B120" s="41"/>
      <c r="C120" s="53"/>
      <c r="D120" s="53"/>
      <c r="E120" s="53"/>
      <c r="F120" s="53"/>
      <c r="G120" s="53"/>
      <c r="H120" s="53"/>
      <c r="I120" s="53"/>
      <c r="J120" s="53"/>
      <c r="K120" s="41"/>
      <c r="L120" s="41"/>
      <c r="M120" s="41"/>
      <c r="N120" s="41"/>
      <c r="O120" s="41"/>
      <c r="P120" s="41"/>
      <c r="Q120" s="41"/>
      <c r="R120" s="41"/>
      <c r="S120" s="41"/>
      <c r="T120" s="41"/>
      <c r="U120" s="41"/>
      <c r="V120" s="41"/>
      <c r="W120" s="41"/>
      <c r="X120" s="41"/>
      <c r="Y120" s="41"/>
      <c r="Z120" s="41"/>
    </row>
    <row r="121">
      <c r="A121" s="41"/>
      <c r="B121" s="41"/>
      <c r="C121" s="53"/>
      <c r="D121" s="53"/>
      <c r="E121" s="53"/>
      <c r="F121" s="53"/>
      <c r="G121" s="53"/>
      <c r="H121" s="53"/>
      <c r="I121" s="53"/>
      <c r="J121" s="53"/>
      <c r="K121" s="41"/>
      <c r="L121" s="41"/>
      <c r="M121" s="41"/>
      <c r="N121" s="41"/>
      <c r="O121" s="41"/>
      <c r="P121" s="41"/>
      <c r="Q121" s="41"/>
      <c r="R121" s="41"/>
      <c r="S121" s="41"/>
      <c r="T121" s="41"/>
      <c r="U121" s="41"/>
      <c r="V121" s="41"/>
      <c r="W121" s="41"/>
      <c r="X121" s="41"/>
      <c r="Y121" s="41"/>
      <c r="Z121" s="41"/>
    </row>
    <row r="122">
      <c r="A122" s="41"/>
      <c r="B122" s="41"/>
      <c r="C122" s="53"/>
      <c r="D122" s="53"/>
      <c r="E122" s="53"/>
      <c r="F122" s="53"/>
      <c r="G122" s="53"/>
      <c r="H122" s="53"/>
      <c r="I122" s="53"/>
      <c r="J122" s="53"/>
      <c r="K122" s="41"/>
      <c r="L122" s="41"/>
      <c r="M122" s="41"/>
      <c r="N122" s="41"/>
      <c r="O122" s="41"/>
      <c r="P122" s="41"/>
      <c r="Q122" s="41"/>
      <c r="R122" s="41"/>
      <c r="S122" s="41"/>
      <c r="T122" s="41"/>
      <c r="U122" s="41"/>
      <c r="V122" s="41"/>
      <c r="W122" s="41"/>
      <c r="X122" s="41"/>
      <c r="Y122" s="41"/>
      <c r="Z122" s="41"/>
    </row>
    <row r="123">
      <c r="A123" s="41"/>
      <c r="B123" s="41"/>
      <c r="C123" s="53"/>
      <c r="D123" s="53"/>
      <c r="E123" s="53"/>
      <c r="F123" s="53"/>
      <c r="G123" s="53"/>
      <c r="H123" s="53"/>
      <c r="I123" s="53"/>
      <c r="J123" s="53"/>
      <c r="K123" s="41"/>
      <c r="L123" s="41"/>
      <c r="M123" s="41"/>
      <c r="N123" s="41"/>
      <c r="O123" s="41"/>
      <c r="P123" s="41"/>
      <c r="Q123" s="41"/>
      <c r="R123" s="41"/>
      <c r="S123" s="41"/>
      <c r="T123" s="41"/>
      <c r="U123" s="41"/>
      <c r="V123" s="41"/>
      <c r="W123" s="41"/>
      <c r="X123" s="41"/>
      <c r="Y123" s="41"/>
      <c r="Z123" s="41"/>
    </row>
    <row r="124">
      <c r="A124" s="41"/>
      <c r="B124" s="41"/>
      <c r="C124" s="53"/>
      <c r="D124" s="53"/>
      <c r="E124" s="53"/>
      <c r="F124" s="53"/>
      <c r="G124" s="53"/>
      <c r="H124" s="53"/>
      <c r="I124" s="53"/>
      <c r="J124" s="53"/>
      <c r="K124" s="41"/>
      <c r="L124" s="41"/>
      <c r="M124" s="41"/>
      <c r="N124" s="41"/>
      <c r="O124" s="41"/>
      <c r="P124" s="41"/>
      <c r="Q124" s="41"/>
      <c r="R124" s="41"/>
      <c r="S124" s="41"/>
      <c r="T124" s="41"/>
      <c r="U124" s="41"/>
      <c r="V124" s="41"/>
      <c r="W124" s="41"/>
      <c r="X124" s="41"/>
      <c r="Y124" s="41"/>
      <c r="Z124" s="41"/>
    </row>
    <row r="125">
      <c r="A125" s="41"/>
      <c r="B125" s="41"/>
      <c r="C125" s="53"/>
      <c r="D125" s="53"/>
      <c r="E125" s="53"/>
      <c r="F125" s="53"/>
      <c r="G125" s="53"/>
      <c r="H125" s="53"/>
      <c r="I125" s="53"/>
      <c r="J125" s="53"/>
      <c r="K125" s="41"/>
      <c r="L125" s="41"/>
      <c r="M125" s="41"/>
      <c r="N125" s="41"/>
      <c r="O125" s="41"/>
      <c r="P125" s="41"/>
      <c r="Q125" s="41"/>
      <c r="R125" s="41"/>
      <c r="S125" s="41"/>
      <c r="T125" s="41"/>
      <c r="U125" s="41"/>
      <c r="V125" s="41"/>
      <c r="W125" s="41"/>
      <c r="X125" s="41"/>
      <c r="Y125" s="41"/>
      <c r="Z125" s="41"/>
    </row>
    <row r="126">
      <c r="A126" s="41"/>
      <c r="B126" s="41"/>
      <c r="C126" s="53"/>
      <c r="D126" s="53"/>
      <c r="E126" s="53"/>
      <c r="F126" s="53"/>
      <c r="G126" s="53"/>
      <c r="H126" s="53"/>
      <c r="I126" s="53"/>
      <c r="J126" s="53"/>
      <c r="K126" s="41"/>
      <c r="L126" s="41"/>
      <c r="M126" s="41"/>
      <c r="N126" s="41"/>
      <c r="O126" s="41"/>
      <c r="P126" s="41"/>
      <c r="Q126" s="41"/>
      <c r="R126" s="41"/>
      <c r="S126" s="41"/>
      <c r="T126" s="41"/>
      <c r="U126" s="41"/>
      <c r="V126" s="41"/>
      <c r="W126" s="41"/>
      <c r="X126" s="41"/>
      <c r="Y126" s="41"/>
      <c r="Z126" s="41"/>
    </row>
    <row r="127">
      <c r="A127" s="41"/>
      <c r="B127" s="41"/>
      <c r="C127" s="53"/>
      <c r="D127" s="53"/>
      <c r="E127" s="53"/>
      <c r="F127" s="53"/>
      <c r="G127" s="53"/>
      <c r="H127" s="53"/>
      <c r="I127" s="53"/>
      <c r="J127" s="53"/>
      <c r="K127" s="41"/>
      <c r="L127" s="41"/>
      <c r="M127" s="41"/>
      <c r="N127" s="41"/>
      <c r="O127" s="41"/>
      <c r="P127" s="41"/>
      <c r="Q127" s="41"/>
      <c r="R127" s="41"/>
      <c r="S127" s="41"/>
      <c r="T127" s="41"/>
      <c r="U127" s="41"/>
      <c r="V127" s="41"/>
      <c r="W127" s="41"/>
      <c r="X127" s="41"/>
      <c r="Y127" s="41"/>
      <c r="Z127" s="41"/>
    </row>
    <row r="128">
      <c r="A128" s="41"/>
      <c r="B128" s="41"/>
      <c r="C128" s="53"/>
      <c r="D128" s="53"/>
      <c r="E128" s="53"/>
      <c r="F128" s="53"/>
      <c r="G128" s="53"/>
      <c r="H128" s="53"/>
      <c r="I128" s="53"/>
      <c r="J128" s="53"/>
      <c r="K128" s="41"/>
      <c r="L128" s="41"/>
      <c r="M128" s="41"/>
      <c r="N128" s="41"/>
      <c r="O128" s="41"/>
      <c r="P128" s="41"/>
      <c r="Q128" s="41"/>
      <c r="R128" s="41"/>
      <c r="S128" s="41"/>
      <c r="T128" s="41"/>
      <c r="U128" s="41"/>
      <c r="V128" s="41"/>
      <c r="W128" s="41"/>
      <c r="X128" s="41"/>
      <c r="Y128" s="41"/>
      <c r="Z128" s="41"/>
    </row>
    <row r="129">
      <c r="A129" s="41"/>
      <c r="B129" s="41"/>
      <c r="C129" s="53"/>
      <c r="D129" s="53"/>
      <c r="E129" s="53"/>
      <c r="F129" s="53"/>
      <c r="G129" s="53"/>
      <c r="H129" s="53"/>
      <c r="I129" s="53"/>
      <c r="J129" s="53"/>
      <c r="K129" s="41"/>
      <c r="L129" s="41"/>
      <c r="M129" s="41"/>
      <c r="N129" s="41"/>
      <c r="O129" s="41"/>
      <c r="P129" s="41"/>
      <c r="Q129" s="41"/>
      <c r="R129" s="41"/>
      <c r="S129" s="41"/>
      <c r="T129" s="41"/>
      <c r="U129" s="41"/>
      <c r="V129" s="41"/>
      <c r="W129" s="41"/>
      <c r="X129" s="41"/>
      <c r="Y129" s="41"/>
      <c r="Z129" s="41"/>
    </row>
    <row r="130">
      <c r="A130" s="41"/>
      <c r="B130" s="41"/>
      <c r="C130" s="53"/>
      <c r="D130" s="53"/>
      <c r="E130" s="53"/>
      <c r="F130" s="53"/>
      <c r="G130" s="53"/>
      <c r="H130" s="53"/>
      <c r="I130" s="53"/>
      <c r="J130" s="53"/>
      <c r="K130" s="41"/>
      <c r="L130" s="41"/>
      <c r="M130" s="41"/>
      <c r="N130" s="41"/>
      <c r="O130" s="41"/>
      <c r="P130" s="41"/>
      <c r="Q130" s="41"/>
      <c r="R130" s="41"/>
      <c r="S130" s="41"/>
      <c r="T130" s="41"/>
      <c r="U130" s="41"/>
      <c r="V130" s="41"/>
      <c r="W130" s="41"/>
      <c r="X130" s="41"/>
      <c r="Y130" s="41"/>
      <c r="Z130" s="41"/>
    </row>
    <row r="131">
      <c r="A131" s="41"/>
      <c r="B131" s="41"/>
      <c r="C131" s="53"/>
      <c r="D131" s="53"/>
      <c r="E131" s="53"/>
      <c r="F131" s="53"/>
      <c r="G131" s="53"/>
      <c r="H131" s="53"/>
      <c r="I131" s="53"/>
      <c r="J131" s="53"/>
      <c r="K131" s="41"/>
      <c r="L131" s="41"/>
      <c r="M131" s="41"/>
      <c r="N131" s="41"/>
      <c r="O131" s="41"/>
      <c r="P131" s="41"/>
      <c r="Q131" s="41"/>
      <c r="R131" s="41"/>
      <c r="S131" s="41"/>
      <c r="T131" s="41"/>
      <c r="U131" s="41"/>
      <c r="V131" s="41"/>
      <c r="W131" s="41"/>
      <c r="X131" s="41"/>
      <c r="Y131" s="41"/>
      <c r="Z131" s="41"/>
    </row>
    <row r="132">
      <c r="A132" s="41"/>
      <c r="B132" s="41"/>
      <c r="C132" s="53"/>
      <c r="D132" s="53"/>
      <c r="E132" s="53"/>
      <c r="F132" s="53"/>
      <c r="G132" s="53"/>
      <c r="H132" s="53"/>
      <c r="I132" s="53"/>
      <c r="J132" s="53"/>
      <c r="K132" s="41"/>
      <c r="L132" s="41"/>
      <c r="M132" s="41"/>
      <c r="N132" s="41"/>
      <c r="O132" s="41"/>
      <c r="P132" s="41"/>
      <c r="Q132" s="41"/>
      <c r="R132" s="41"/>
      <c r="S132" s="41"/>
      <c r="T132" s="41"/>
      <c r="U132" s="41"/>
      <c r="V132" s="41"/>
      <c r="W132" s="41"/>
      <c r="X132" s="41"/>
      <c r="Y132" s="41"/>
      <c r="Z132" s="41"/>
    </row>
    <row r="133">
      <c r="A133" s="41"/>
      <c r="B133" s="41"/>
      <c r="C133" s="53"/>
      <c r="D133" s="53"/>
      <c r="E133" s="53"/>
      <c r="F133" s="53"/>
      <c r="G133" s="53"/>
      <c r="H133" s="53"/>
      <c r="I133" s="53"/>
      <c r="J133" s="53"/>
      <c r="K133" s="41"/>
      <c r="L133" s="41"/>
      <c r="M133" s="41"/>
      <c r="N133" s="41"/>
      <c r="O133" s="41"/>
      <c r="P133" s="41"/>
      <c r="Q133" s="41"/>
      <c r="R133" s="41"/>
      <c r="S133" s="41"/>
      <c r="T133" s="41"/>
      <c r="U133" s="41"/>
      <c r="V133" s="41"/>
      <c r="W133" s="41"/>
      <c r="X133" s="41"/>
      <c r="Y133" s="41"/>
      <c r="Z133" s="41"/>
    </row>
    <row r="134">
      <c r="A134" s="41"/>
      <c r="B134" s="41"/>
      <c r="C134" s="53"/>
      <c r="D134" s="53"/>
      <c r="E134" s="53"/>
      <c r="F134" s="53"/>
      <c r="G134" s="53"/>
      <c r="H134" s="53"/>
      <c r="I134" s="53"/>
      <c r="J134" s="53"/>
      <c r="K134" s="41"/>
      <c r="L134" s="41"/>
      <c r="M134" s="41"/>
      <c r="N134" s="41"/>
      <c r="O134" s="41"/>
      <c r="P134" s="41"/>
      <c r="Q134" s="41"/>
      <c r="R134" s="41"/>
      <c r="S134" s="41"/>
      <c r="T134" s="41"/>
      <c r="U134" s="41"/>
      <c r="V134" s="41"/>
      <c r="W134" s="41"/>
      <c r="X134" s="41"/>
      <c r="Y134" s="41"/>
      <c r="Z134" s="41"/>
    </row>
    <row r="135">
      <c r="A135" s="41"/>
      <c r="B135" s="41"/>
      <c r="C135" s="53"/>
      <c r="D135" s="53"/>
      <c r="E135" s="53"/>
      <c r="F135" s="53"/>
      <c r="G135" s="53"/>
      <c r="H135" s="53"/>
      <c r="I135" s="53"/>
      <c r="J135" s="53"/>
      <c r="K135" s="41"/>
      <c r="L135" s="41"/>
      <c r="M135" s="41"/>
      <c r="N135" s="41"/>
      <c r="O135" s="41"/>
      <c r="P135" s="41"/>
      <c r="Q135" s="41"/>
      <c r="R135" s="41"/>
      <c r="S135" s="41"/>
      <c r="T135" s="41"/>
      <c r="U135" s="41"/>
      <c r="V135" s="41"/>
      <c r="W135" s="41"/>
      <c r="X135" s="41"/>
      <c r="Y135" s="41"/>
      <c r="Z135" s="41"/>
    </row>
    <row r="136">
      <c r="A136" s="41"/>
      <c r="B136" s="41"/>
      <c r="C136" s="53"/>
      <c r="D136" s="53"/>
      <c r="E136" s="53"/>
      <c r="F136" s="53"/>
      <c r="G136" s="53"/>
      <c r="H136" s="53"/>
      <c r="I136" s="53"/>
      <c r="J136" s="53"/>
      <c r="K136" s="41"/>
      <c r="L136" s="41"/>
      <c r="M136" s="41"/>
      <c r="N136" s="41"/>
      <c r="O136" s="41"/>
      <c r="P136" s="41"/>
      <c r="Q136" s="41"/>
      <c r="R136" s="41"/>
      <c r="S136" s="41"/>
      <c r="T136" s="41"/>
      <c r="U136" s="41"/>
      <c r="V136" s="41"/>
      <c r="W136" s="41"/>
      <c r="X136" s="41"/>
      <c r="Y136" s="41"/>
      <c r="Z136" s="41"/>
    </row>
    <row r="137">
      <c r="A137" s="41"/>
      <c r="B137" s="41"/>
      <c r="C137" s="53"/>
      <c r="D137" s="53"/>
      <c r="E137" s="53"/>
      <c r="F137" s="53"/>
      <c r="G137" s="53"/>
      <c r="H137" s="53"/>
      <c r="I137" s="53"/>
      <c r="J137" s="53"/>
      <c r="K137" s="41"/>
      <c r="L137" s="41"/>
      <c r="M137" s="41"/>
      <c r="N137" s="41"/>
      <c r="O137" s="41"/>
      <c r="P137" s="41"/>
      <c r="Q137" s="41"/>
      <c r="R137" s="41"/>
      <c r="S137" s="41"/>
      <c r="T137" s="41"/>
      <c r="U137" s="41"/>
      <c r="V137" s="41"/>
      <c r="W137" s="41"/>
      <c r="X137" s="41"/>
      <c r="Y137" s="41"/>
      <c r="Z137" s="41"/>
    </row>
    <row r="138">
      <c r="A138" s="41"/>
      <c r="B138" s="41"/>
      <c r="C138" s="53"/>
      <c r="D138" s="53"/>
      <c r="E138" s="53"/>
      <c r="F138" s="53"/>
      <c r="G138" s="53"/>
      <c r="H138" s="53"/>
      <c r="I138" s="53"/>
      <c r="J138" s="53"/>
      <c r="K138" s="41"/>
      <c r="L138" s="41"/>
      <c r="M138" s="41"/>
      <c r="N138" s="41"/>
      <c r="O138" s="41"/>
      <c r="P138" s="41"/>
      <c r="Q138" s="41"/>
      <c r="R138" s="41"/>
      <c r="S138" s="41"/>
      <c r="T138" s="41"/>
      <c r="U138" s="41"/>
      <c r="V138" s="41"/>
      <c r="W138" s="41"/>
      <c r="X138" s="41"/>
      <c r="Y138" s="41"/>
      <c r="Z138" s="41"/>
    </row>
    <row r="139">
      <c r="A139" s="41"/>
      <c r="B139" s="41"/>
      <c r="C139" s="53"/>
      <c r="D139" s="53"/>
      <c r="E139" s="53"/>
      <c r="F139" s="53"/>
      <c r="G139" s="53"/>
      <c r="H139" s="53"/>
      <c r="I139" s="53"/>
      <c r="J139" s="53"/>
      <c r="K139" s="41"/>
      <c r="L139" s="41"/>
      <c r="M139" s="41"/>
      <c r="N139" s="41"/>
      <c r="O139" s="41"/>
      <c r="P139" s="41"/>
      <c r="Q139" s="41"/>
      <c r="R139" s="41"/>
      <c r="S139" s="41"/>
      <c r="T139" s="41"/>
      <c r="U139" s="41"/>
      <c r="V139" s="41"/>
      <c r="W139" s="41"/>
      <c r="X139" s="41"/>
      <c r="Y139" s="41"/>
      <c r="Z139" s="41"/>
    </row>
    <row r="140">
      <c r="A140" s="41"/>
      <c r="B140" s="41"/>
      <c r="C140" s="53"/>
      <c r="D140" s="53"/>
      <c r="E140" s="53"/>
      <c r="F140" s="53"/>
      <c r="G140" s="53"/>
      <c r="H140" s="53"/>
      <c r="I140" s="53"/>
      <c r="J140" s="53"/>
      <c r="K140" s="41"/>
      <c r="L140" s="41"/>
      <c r="M140" s="41"/>
      <c r="N140" s="41"/>
      <c r="O140" s="41"/>
      <c r="P140" s="41"/>
      <c r="Q140" s="41"/>
      <c r="R140" s="41"/>
      <c r="S140" s="41"/>
      <c r="T140" s="41"/>
      <c r="U140" s="41"/>
      <c r="V140" s="41"/>
      <c r="W140" s="41"/>
      <c r="X140" s="41"/>
      <c r="Y140" s="41"/>
      <c r="Z140" s="41"/>
    </row>
    <row r="141">
      <c r="A141" s="41"/>
      <c r="B141" s="41"/>
      <c r="C141" s="53"/>
      <c r="D141" s="53"/>
      <c r="E141" s="53"/>
      <c r="F141" s="53"/>
      <c r="G141" s="53"/>
      <c r="H141" s="53"/>
      <c r="I141" s="53"/>
      <c r="J141" s="53"/>
      <c r="K141" s="41"/>
      <c r="L141" s="41"/>
      <c r="M141" s="41"/>
      <c r="N141" s="41"/>
      <c r="O141" s="41"/>
      <c r="P141" s="41"/>
      <c r="Q141" s="41"/>
      <c r="R141" s="41"/>
      <c r="S141" s="41"/>
      <c r="T141" s="41"/>
      <c r="U141" s="41"/>
      <c r="V141" s="41"/>
      <c r="W141" s="41"/>
      <c r="X141" s="41"/>
      <c r="Y141" s="41"/>
      <c r="Z141" s="41"/>
    </row>
    <row r="142">
      <c r="A142" s="41"/>
      <c r="B142" s="41"/>
      <c r="C142" s="53"/>
      <c r="D142" s="53"/>
      <c r="E142" s="53"/>
      <c r="F142" s="53"/>
      <c r="G142" s="53"/>
      <c r="H142" s="53"/>
      <c r="I142" s="53"/>
      <c r="J142" s="53"/>
      <c r="K142" s="41"/>
      <c r="L142" s="41"/>
      <c r="M142" s="41"/>
      <c r="N142" s="41"/>
      <c r="O142" s="41"/>
      <c r="P142" s="41"/>
      <c r="Q142" s="41"/>
      <c r="R142" s="41"/>
      <c r="S142" s="41"/>
      <c r="T142" s="41"/>
      <c r="U142" s="41"/>
      <c r="V142" s="41"/>
      <c r="W142" s="41"/>
      <c r="X142" s="41"/>
      <c r="Y142" s="41"/>
      <c r="Z142" s="41"/>
    </row>
    <row r="143">
      <c r="A143" s="41"/>
      <c r="B143" s="41"/>
      <c r="C143" s="53"/>
      <c r="D143" s="53"/>
      <c r="E143" s="53"/>
      <c r="F143" s="53"/>
      <c r="G143" s="53"/>
      <c r="H143" s="53"/>
      <c r="I143" s="53"/>
      <c r="J143" s="53"/>
      <c r="K143" s="41"/>
      <c r="L143" s="41"/>
      <c r="M143" s="41"/>
      <c r="N143" s="41"/>
      <c r="O143" s="41"/>
      <c r="P143" s="41"/>
      <c r="Q143" s="41"/>
      <c r="R143" s="41"/>
      <c r="S143" s="41"/>
      <c r="T143" s="41"/>
      <c r="U143" s="41"/>
      <c r="V143" s="41"/>
      <c r="W143" s="41"/>
      <c r="X143" s="41"/>
      <c r="Y143" s="41"/>
      <c r="Z143" s="41"/>
    </row>
    <row r="144">
      <c r="A144" s="41"/>
      <c r="B144" s="41"/>
      <c r="C144" s="53"/>
      <c r="D144" s="53"/>
      <c r="E144" s="53"/>
      <c r="F144" s="53"/>
      <c r="G144" s="53"/>
      <c r="H144" s="53"/>
      <c r="I144" s="53"/>
      <c r="J144" s="53"/>
      <c r="K144" s="41"/>
      <c r="L144" s="41"/>
      <c r="M144" s="41"/>
      <c r="N144" s="41"/>
      <c r="O144" s="41"/>
      <c r="P144" s="41"/>
      <c r="Q144" s="41"/>
      <c r="R144" s="41"/>
      <c r="S144" s="41"/>
      <c r="T144" s="41"/>
      <c r="U144" s="41"/>
      <c r="V144" s="41"/>
      <c r="W144" s="41"/>
      <c r="X144" s="41"/>
      <c r="Y144" s="41"/>
      <c r="Z144" s="41"/>
    </row>
    <row r="145">
      <c r="A145" s="41"/>
      <c r="B145" s="41"/>
      <c r="C145" s="53"/>
      <c r="D145" s="53"/>
      <c r="E145" s="53"/>
      <c r="F145" s="53"/>
      <c r="G145" s="53"/>
      <c r="H145" s="53"/>
      <c r="I145" s="53"/>
      <c r="J145" s="53"/>
      <c r="K145" s="41"/>
      <c r="L145" s="41"/>
      <c r="M145" s="41"/>
      <c r="N145" s="41"/>
      <c r="O145" s="41"/>
      <c r="P145" s="41"/>
      <c r="Q145" s="41"/>
      <c r="R145" s="41"/>
      <c r="S145" s="41"/>
      <c r="T145" s="41"/>
      <c r="U145" s="41"/>
      <c r="V145" s="41"/>
      <c r="W145" s="41"/>
      <c r="X145" s="41"/>
      <c r="Y145" s="41"/>
      <c r="Z145" s="41"/>
    </row>
    <row r="146">
      <c r="A146" s="41"/>
      <c r="B146" s="41"/>
      <c r="C146" s="53"/>
      <c r="D146" s="53"/>
      <c r="E146" s="53"/>
      <c r="F146" s="53"/>
      <c r="G146" s="53"/>
      <c r="H146" s="53"/>
      <c r="I146" s="53"/>
      <c r="J146" s="53"/>
      <c r="K146" s="41"/>
      <c r="L146" s="41"/>
      <c r="M146" s="41"/>
      <c r="N146" s="41"/>
      <c r="O146" s="41"/>
      <c r="P146" s="41"/>
      <c r="Q146" s="41"/>
      <c r="R146" s="41"/>
      <c r="S146" s="41"/>
      <c r="T146" s="41"/>
      <c r="U146" s="41"/>
      <c r="V146" s="41"/>
      <c r="W146" s="41"/>
      <c r="X146" s="41"/>
      <c r="Y146" s="41"/>
      <c r="Z146" s="41"/>
    </row>
    <row r="147">
      <c r="A147" s="41"/>
      <c r="B147" s="41"/>
      <c r="C147" s="53"/>
      <c r="D147" s="53"/>
      <c r="E147" s="53"/>
      <c r="F147" s="53"/>
      <c r="G147" s="53"/>
      <c r="H147" s="53"/>
      <c r="I147" s="53"/>
      <c r="J147" s="53"/>
      <c r="K147" s="41"/>
      <c r="L147" s="41"/>
      <c r="M147" s="41"/>
      <c r="N147" s="41"/>
      <c r="O147" s="41"/>
      <c r="P147" s="41"/>
      <c r="Q147" s="41"/>
      <c r="R147" s="41"/>
      <c r="S147" s="41"/>
      <c r="T147" s="41"/>
      <c r="U147" s="41"/>
      <c r="V147" s="41"/>
      <c r="W147" s="41"/>
      <c r="X147" s="41"/>
      <c r="Y147" s="41"/>
      <c r="Z147" s="41"/>
    </row>
    <row r="148">
      <c r="A148" s="41"/>
      <c r="B148" s="41"/>
      <c r="C148" s="53"/>
      <c r="D148" s="53"/>
      <c r="E148" s="53"/>
      <c r="F148" s="53"/>
      <c r="G148" s="53"/>
      <c r="H148" s="53"/>
      <c r="I148" s="53"/>
      <c r="J148" s="53"/>
      <c r="K148" s="41"/>
      <c r="L148" s="41"/>
      <c r="M148" s="41"/>
      <c r="N148" s="41"/>
      <c r="O148" s="41"/>
      <c r="P148" s="41"/>
      <c r="Q148" s="41"/>
      <c r="R148" s="41"/>
      <c r="S148" s="41"/>
      <c r="T148" s="41"/>
      <c r="U148" s="41"/>
      <c r="V148" s="41"/>
      <c r="W148" s="41"/>
      <c r="X148" s="41"/>
      <c r="Y148" s="41"/>
      <c r="Z148" s="41"/>
    </row>
    <row r="149">
      <c r="A149" s="41"/>
      <c r="B149" s="41"/>
      <c r="C149" s="53"/>
      <c r="D149" s="53"/>
      <c r="E149" s="53"/>
      <c r="F149" s="53"/>
      <c r="G149" s="53"/>
      <c r="H149" s="53"/>
      <c r="I149" s="53"/>
      <c r="J149" s="53"/>
      <c r="K149" s="41"/>
      <c r="L149" s="41"/>
      <c r="M149" s="41"/>
      <c r="N149" s="41"/>
      <c r="O149" s="41"/>
      <c r="P149" s="41"/>
      <c r="Q149" s="41"/>
      <c r="R149" s="41"/>
      <c r="S149" s="41"/>
      <c r="T149" s="41"/>
      <c r="U149" s="41"/>
      <c r="V149" s="41"/>
      <c r="W149" s="41"/>
      <c r="X149" s="41"/>
      <c r="Y149" s="41"/>
      <c r="Z149" s="41"/>
    </row>
    <row r="150">
      <c r="A150" s="41"/>
      <c r="B150" s="41"/>
      <c r="C150" s="53"/>
      <c r="D150" s="53"/>
      <c r="E150" s="53"/>
      <c r="F150" s="53"/>
      <c r="G150" s="53"/>
      <c r="H150" s="53"/>
      <c r="I150" s="53"/>
      <c r="J150" s="53"/>
      <c r="K150" s="41"/>
      <c r="L150" s="41"/>
      <c r="M150" s="41"/>
      <c r="N150" s="41"/>
      <c r="O150" s="41"/>
      <c r="P150" s="41"/>
      <c r="Q150" s="41"/>
      <c r="R150" s="41"/>
      <c r="S150" s="41"/>
      <c r="T150" s="41"/>
      <c r="U150" s="41"/>
      <c r="V150" s="41"/>
      <c r="W150" s="41"/>
      <c r="X150" s="41"/>
      <c r="Y150" s="41"/>
      <c r="Z150" s="41"/>
    </row>
    <row r="151">
      <c r="A151" s="41"/>
      <c r="B151" s="41"/>
      <c r="C151" s="53"/>
      <c r="D151" s="53"/>
      <c r="E151" s="53"/>
      <c r="F151" s="53"/>
      <c r="G151" s="53"/>
      <c r="H151" s="53"/>
      <c r="I151" s="53"/>
      <c r="J151" s="53"/>
      <c r="K151" s="41"/>
      <c r="L151" s="41"/>
      <c r="M151" s="41"/>
      <c r="N151" s="41"/>
      <c r="O151" s="41"/>
      <c r="P151" s="41"/>
      <c r="Q151" s="41"/>
      <c r="R151" s="41"/>
      <c r="S151" s="41"/>
      <c r="T151" s="41"/>
      <c r="U151" s="41"/>
      <c r="V151" s="41"/>
      <c r="W151" s="41"/>
      <c r="X151" s="41"/>
      <c r="Y151" s="41"/>
      <c r="Z151" s="41"/>
    </row>
    <row r="152">
      <c r="A152" s="41"/>
      <c r="B152" s="41"/>
      <c r="C152" s="53"/>
      <c r="D152" s="53"/>
      <c r="E152" s="53"/>
      <c r="F152" s="53"/>
      <c r="G152" s="53"/>
      <c r="H152" s="53"/>
      <c r="I152" s="53"/>
      <c r="J152" s="53"/>
      <c r="K152" s="41"/>
      <c r="L152" s="41"/>
      <c r="M152" s="41"/>
      <c r="N152" s="41"/>
      <c r="O152" s="41"/>
      <c r="P152" s="41"/>
      <c r="Q152" s="41"/>
      <c r="R152" s="41"/>
      <c r="S152" s="41"/>
      <c r="T152" s="41"/>
      <c r="U152" s="41"/>
      <c r="V152" s="41"/>
      <c r="W152" s="41"/>
      <c r="X152" s="41"/>
      <c r="Y152" s="41"/>
      <c r="Z152" s="41"/>
    </row>
    <row r="153">
      <c r="A153" s="41"/>
      <c r="B153" s="41"/>
      <c r="C153" s="53"/>
      <c r="D153" s="53"/>
      <c r="E153" s="53"/>
      <c r="F153" s="53"/>
      <c r="G153" s="53"/>
      <c r="H153" s="53"/>
      <c r="I153" s="53"/>
      <c r="J153" s="53"/>
      <c r="K153" s="41"/>
      <c r="L153" s="41"/>
      <c r="M153" s="41"/>
      <c r="N153" s="41"/>
      <c r="O153" s="41"/>
      <c r="P153" s="41"/>
      <c r="Q153" s="41"/>
      <c r="R153" s="41"/>
      <c r="S153" s="41"/>
      <c r="T153" s="41"/>
      <c r="U153" s="41"/>
      <c r="V153" s="41"/>
      <c r="W153" s="41"/>
      <c r="X153" s="41"/>
      <c r="Y153" s="41"/>
      <c r="Z153" s="41"/>
    </row>
    <row r="154">
      <c r="A154" s="41"/>
      <c r="B154" s="41"/>
      <c r="C154" s="53"/>
      <c r="D154" s="53"/>
      <c r="E154" s="53"/>
      <c r="F154" s="53"/>
      <c r="G154" s="53"/>
      <c r="H154" s="53"/>
      <c r="I154" s="53"/>
      <c r="J154" s="53"/>
      <c r="K154" s="41"/>
      <c r="L154" s="41"/>
      <c r="M154" s="41"/>
      <c r="N154" s="41"/>
      <c r="O154" s="41"/>
      <c r="P154" s="41"/>
      <c r="Q154" s="41"/>
      <c r="R154" s="41"/>
      <c r="S154" s="41"/>
      <c r="T154" s="41"/>
      <c r="U154" s="41"/>
      <c r="V154" s="41"/>
      <c r="W154" s="41"/>
      <c r="X154" s="41"/>
      <c r="Y154" s="41"/>
      <c r="Z154" s="41"/>
    </row>
    <row r="155">
      <c r="A155" s="41"/>
      <c r="B155" s="41"/>
      <c r="C155" s="53"/>
      <c r="D155" s="53"/>
      <c r="E155" s="53"/>
      <c r="F155" s="53"/>
      <c r="G155" s="53"/>
      <c r="H155" s="53"/>
      <c r="I155" s="53"/>
      <c r="J155" s="53"/>
      <c r="K155" s="41"/>
      <c r="L155" s="41"/>
      <c r="M155" s="41"/>
      <c r="N155" s="41"/>
      <c r="O155" s="41"/>
      <c r="P155" s="41"/>
      <c r="Q155" s="41"/>
      <c r="R155" s="41"/>
      <c r="S155" s="41"/>
      <c r="T155" s="41"/>
      <c r="U155" s="41"/>
      <c r="V155" s="41"/>
      <c r="W155" s="41"/>
      <c r="X155" s="41"/>
      <c r="Y155" s="41"/>
      <c r="Z155" s="41"/>
    </row>
    <row r="156">
      <c r="A156" s="41"/>
      <c r="B156" s="41"/>
      <c r="C156" s="53"/>
      <c r="D156" s="53"/>
      <c r="E156" s="53"/>
      <c r="F156" s="53"/>
      <c r="G156" s="53"/>
      <c r="H156" s="53"/>
      <c r="I156" s="53"/>
      <c r="J156" s="53"/>
      <c r="K156" s="41"/>
      <c r="L156" s="41"/>
      <c r="M156" s="41"/>
      <c r="N156" s="41"/>
      <c r="O156" s="41"/>
      <c r="P156" s="41"/>
      <c r="Q156" s="41"/>
      <c r="R156" s="41"/>
      <c r="S156" s="41"/>
      <c r="T156" s="41"/>
      <c r="U156" s="41"/>
      <c r="V156" s="41"/>
      <c r="W156" s="41"/>
      <c r="X156" s="41"/>
      <c r="Y156" s="41"/>
      <c r="Z156" s="41"/>
    </row>
    <row r="157">
      <c r="A157" s="41"/>
      <c r="B157" s="41"/>
      <c r="C157" s="53"/>
      <c r="D157" s="53"/>
      <c r="E157" s="53"/>
      <c r="F157" s="53"/>
      <c r="G157" s="53"/>
      <c r="H157" s="53"/>
      <c r="I157" s="53"/>
      <c r="J157" s="53"/>
      <c r="K157" s="41"/>
      <c r="L157" s="41"/>
      <c r="M157" s="41"/>
      <c r="N157" s="41"/>
      <c r="O157" s="41"/>
      <c r="P157" s="41"/>
      <c r="Q157" s="41"/>
      <c r="R157" s="41"/>
      <c r="S157" s="41"/>
      <c r="T157" s="41"/>
      <c r="U157" s="41"/>
      <c r="V157" s="41"/>
      <c r="W157" s="41"/>
      <c r="X157" s="41"/>
      <c r="Y157" s="41"/>
      <c r="Z157" s="41"/>
    </row>
    <row r="158">
      <c r="A158" s="41"/>
      <c r="B158" s="41"/>
      <c r="C158" s="53"/>
      <c r="D158" s="53"/>
      <c r="E158" s="53"/>
      <c r="F158" s="53"/>
      <c r="G158" s="53"/>
      <c r="H158" s="53"/>
      <c r="I158" s="53"/>
      <c r="J158" s="53"/>
      <c r="K158" s="41"/>
      <c r="L158" s="41"/>
      <c r="M158" s="41"/>
      <c r="N158" s="41"/>
      <c r="O158" s="41"/>
      <c r="P158" s="41"/>
      <c r="Q158" s="41"/>
      <c r="R158" s="41"/>
      <c r="S158" s="41"/>
      <c r="T158" s="41"/>
      <c r="U158" s="41"/>
      <c r="V158" s="41"/>
      <c r="W158" s="41"/>
      <c r="X158" s="41"/>
      <c r="Y158" s="41"/>
      <c r="Z158" s="41"/>
    </row>
    <row r="159">
      <c r="A159" s="41"/>
      <c r="B159" s="41"/>
      <c r="C159" s="53"/>
      <c r="D159" s="53"/>
      <c r="E159" s="53"/>
      <c r="F159" s="53"/>
      <c r="G159" s="53"/>
      <c r="H159" s="53"/>
      <c r="I159" s="53"/>
      <c r="J159" s="53"/>
      <c r="K159" s="41"/>
      <c r="L159" s="41"/>
      <c r="M159" s="41"/>
      <c r="N159" s="41"/>
      <c r="O159" s="41"/>
      <c r="P159" s="41"/>
      <c r="Q159" s="41"/>
      <c r="R159" s="41"/>
      <c r="S159" s="41"/>
      <c r="T159" s="41"/>
      <c r="U159" s="41"/>
      <c r="V159" s="41"/>
      <c r="W159" s="41"/>
      <c r="X159" s="41"/>
      <c r="Y159" s="41"/>
      <c r="Z159" s="41"/>
    </row>
    <row r="160">
      <c r="A160" s="41"/>
      <c r="B160" s="41"/>
      <c r="C160" s="53"/>
      <c r="D160" s="53"/>
      <c r="E160" s="53"/>
      <c r="F160" s="53"/>
      <c r="G160" s="53"/>
      <c r="H160" s="53"/>
      <c r="I160" s="53"/>
      <c r="J160" s="53"/>
      <c r="K160" s="41"/>
      <c r="L160" s="41"/>
      <c r="M160" s="41"/>
      <c r="N160" s="41"/>
      <c r="O160" s="41"/>
      <c r="P160" s="41"/>
      <c r="Q160" s="41"/>
      <c r="R160" s="41"/>
      <c r="S160" s="41"/>
      <c r="T160" s="41"/>
      <c r="U160" s="41"/>
      <c r="V160" s="41"/>
      <c r="W160" s="41"/>
      <c r="X160" s="41"/>
      <c r="Y160" s="41"/>
      <c r="Z160" s="41"/>
    </row>
    <row r="161">
      <c r="A161" s="41"/>
      <c r="B161" s="41"/>
      <c r="C161" s="53"/>
      <c r="D161" s="53"/>
      <c r="E161" s="53"/>
      <c r="F161" s="53"/>
      <c r="G161" s="53"/>
      <c r="H161" s="53"/>
      <c r="I161" s="53"/>
      <c r="J161" s="53"/>
      <c r="K161" s="41"/>
      <c r="L161" s="41"/>
      <c r="M161" s="41"/>
      <c r="N161" s="41"/>
      <c r="O161" s="41"/>
      <c r="P161" s="41"/>
      <c r="Q161" s="41"/>
      <c r="R161" s="41"/>
      <c r="S161" s="41"/>
      <c r="T161" s="41"/>
      <c r="U161" s="41"/>
      <c r="V161" s="41"/>
      <c r="W161" s="41"/>
      <c r="X161" s="41"/>
      <c r="Y161" s="41"/>
      <c r="Z161" s="41"/>
    </row>
    <row r="162">
      <c r="A162" s="41"/>
      <c r="B162" s="41"/>
      <c r="C162" s="53"/>
      <c r="D162" s="53"/>
      <c r="E162" s="53"/>
      <c r="F162" s="53"/>
      <c r="G162" s="53"/>
      <c r="H162" s="53"/>
      <c r="I162" s="53"/>
      <c r="J162" s="53"/>
      <c r="K162" s="41"/>
      <c r="L162" s="41"/>
      <c r="M162" s="41"/>
      <c r="N162" s="41"/>
      <c r="O162" s="41"/>
      <c r="P162" s="41"/>
      <c r="Q162" s="41"/>
      <c r="R162" s="41"/>
      <c r="S162" s="41"/>
      <c r="T162" s="41"/>
      <c r="U162" s="41"/>
      <c r="V162" s="41"/>
      <c r="W162" s="41"/>
      <c r="X162" s="41"/>
      <c r="Y162" s="41"/>
      <c r="Z162" s="41"/>
    </row>
    <row r="163">
      <c r="A163" s="41"/>
      <c r="B163" s="41"/>
      <c r="C163" s="53"/>
      <c r="D163" s="53"/>
      <c r="E163" s="53"/>
      <c r="F163" s="53"/>
      <c r="G163" s="53"/>
      <c r="H163" s="53"/>
      <c r="I163" s="53"/>
      <c r="J163" s="53"/>
      <c r="K163" s="41"/>
      <c r="L163" s="41"/>
      <c r="M163" s="41"/>
      <c r="N163" s="41"/>
      <c r="O163" s="41"/>
      <c r="P163" s="41"/>
      <c r="Q163" s="41"/>
      <c r="R163" s="41"/>
      <c r="S163" s="41"/>
      <c r="T163" s="41"/>
      <c r="U163" s="41"/>
      <c r="V163" s="41"/>
      <c r="W163" s="41"/>
      <c r="X163" s="41"/>
      <c r="Y163" s="41"/>
      <c r="Z163" s="41"/>
    </row>
    <row r="164">
      <c r="A164" s="41"/>
      <c r="B164" s="41"/>
      <c r="C164" s="53"/>
      <c r="D164" s="53"/>
      <c r="E164" s="53"/>
      <c r="F164" s="53"/>
      <c r="G164" s="53"/>
      <c r="H164" s="53"/>
      <c r="I164" s="53"/>
      <c r="J164" s="53"/>
      <c r="K164" s="41"/>
      <c r="L164" s="41"/>
      <c r="M164" s="41"/>
      <c r="N164" s="41"/>
      <c r="O164" s="41"/>
      <c r="P164" s="41"/>
      <c r="Q164" s="41"/>
      <c r="R164" s="41"/>
      <c r="S164" s="41"/>
      <c r="T164" s="41"/>
      <c r="U164" s="41"/>
      <c r="V164" s="41"/>
      <c r="W164" s="41"/>
      <c r="X164" s="41"/>
      <c r="Y164" s="41"/>
      <c r="Z164" s="41"/>
    </row>
    <row r="165">
      <c r="A165" s="41"/>
      <c r="B165" s="41"/>
      <c r="C165" s="53"/>
      <c r="D165" s="53"/>
      <c r="E165" s="53"/>
      <c r="F165" s="53"/>
      <c r="G165" s="53"/>
      <c r="H165" s="53"/>
      <c r="I165" s="53"/>
      <c r="J165" s="53"/>
      <c r="K165" s="41"/>
      <c r="L165" s="41"/>
      <c r="M165" s="41"/>
      <c r="N165" s="41"/>
      <c r="O165" s="41"/>
      <c r="P165" s="41"/>
      <c r="Q165" s="41"/>
      <c r="R165" s="41"/>
      <c r="S165" s="41"/>
      <c r="T165" s="41"/>
      <c r="U165" s="41"/>
      <c r="V165" s="41"/>
      <c r="W165" s="41"/>
      <c r="X165" s="41"/>
      <c r="Y165" s="41"/>
      <c r="Z165" s="41"/>
    </row>
    <row r="166">
      <c r="A166" s="41"/>
      <c r="B166" s="41"/>
      <c r="C166" s="53"/>
      <c r="D166" s="53"/>
      <c r="E166" s="53"/>
      <c r="F166" s="53"/>
      <c r="G166" s="53"/>
      <c r="H166" s="53"/>
      <c r="I166" s="53"/>
      <c r="J166" s="53"/>
      <c r="K166" s="41"/>
      <c r="L166" s="41"/>
      <c r="M166" s="41"/>
      <c r="N166" s="41"/>
      <c r="O166" s="41"/>
      <c r="P166" s="41"/>
      <c r="Q166" s="41"/>
      <c r="R166" s="41"/>
      <c r="S166" s="41"/>
      <c r="T166" s="41"/>
      <c r="U166" s="41"/>
      <c r="V166" s="41"/>
      <c r="W166" s="41"/>
      <c r="X166" s="41"/>
      <c r="Y166" s="41"/>
      <c r="Z166" s="41"/>
    </row>
    <row r="167">
      <c r="A167" s="41"/>
      <c r="B167" s="41"/>
      <c r="C167" s="53"/>
      <c r="D167" s="53"/>
      <c r="E167" s="53"/>
      <c r="F167" s="53"/>
      <c r="G167" s="53"/>
      <c r="H167" s="53"/>
      <c r="I167" s="53"/>
      <c r="J167" s="53"/>
      <c r="K167" s="41"/>
      <c r="L167" s="41"/>
      <c r="M167" s="41"/>
      <c r="N167" s="41"/>
      <c r="O167" s="41"/>
      <c r="P167" s="41"/>
      <c r="Q167" s="41"/>
      <c r="R167" s="41"/>
      <c r="S167" s="41"/>
      <c r="T167" s="41"/>
      <c r="U167" s="41"/>
      <c r="V167" s="41"/>
      <c r="W167" s="41"/>
      <c r="X167" s="41"/>
      <c r="Y167" s="41"/>
      <c r="Z167" s="41"/>
    </row>
    <row r="168">
      <c r="A168" s="41"/>
      <c r="B168" s="41"/>
      <c r="C168" s="53"/>
      <c r="D168" s="53"/>
      <c r="E168" s="53"/>
      <c r="F168" s="53"/>
      <c r="G168" s="53"/>
      <c r="H168" s="53"/>
      <c r="I168" s="53"/>
      <c r="J168" s="53"/>
      <c r="K168" s="41"/>
      <c r="L168" s="41"/>
      <c r="M168" s="41"/>
      <c r="N168" s="41"/>
      <c r="O168" s="41"/>
      <c r="P168" s="41"/>
      <c r="Q168" s="41"/>
      <c r="R168" s="41"/>
      <c r="S168" s="41"/>
      <c r="T168" s="41"/>
      <c r="U168" s="41"/>
      <c r="V168" s="41"/>
      <c r="W168" s="41"/>
      <c r="X168" s="41"/>
      <c r="Y168" s="41"/>
      <c r="Z168" s="41"/>
    </row>
    <row r="169">
      <c r="A169" s="41"/>
      <c r="B169" s="41"/>
      <c r="C169" s="53"/>
      <c r="D169" s="53"/>
      <c r="E169" s="53"/>
      <c r="F169" s="53"/>
      <c r="G169" s="53"/>
      <c r="H169" s="53"/>
      <c r="I169" s="53"/>
      <c r="J169" s="53"/>
      <c r="K169" s="41"/>
      <c r="L169" s="41"/>
      <c r="M169" s="41"/>
      <c r="N169" s="41"/>
      <c r="O169" s="41"/>
      <c r="P169" s="41"/>
      <c r="Q169" s="41"/>
      <c r="R169" s="41"/>
      <c r="S169" s="41"/>
      <c r="T169" s="41"/>
      <c r="U169" s="41"/>
      <c r="V169" s="41"/>
      <c r="W169" s="41"/>
      <c r="X169" s="41"/>
      <c r="Y169" s="41"/>
      <c r="Z169" s="41"/>
    </row>
    <row r="170">
      <c r="A170" s="41"/>
      <c r="B170" s="41"/>
      <c r="C170" s="53"/>
      <c r="D170" s="53"/>
      <c r="E170" s="53"/>
      <c r="F170" s="53"/>
      <c r="G170" s="53"/>
      <c r="H170" s="53"/>
      <c r="I170" s="53"/>
      <c r="J170" s="53"/>
      <c r="K170" s="41"/>
      <c r="L170" s="41"/>
      <c r="M170" s="41"/>
      <c r="N170" s="41"/>
      <c r="O170" s="41"/>
      <c r="P170" s="41"/>
      <c r="Q170" s="41"/>
      <c r="R170" s="41"/>
      <c r="S170" s="41"/>
      <c r="T170" s="41"/>
      <c r="U170" s="41"/>
      <c r="V170" s="41"/>
      <c r="W170" s="41"/>
      <c r="X170" s="41"/>
      <c r="Y170" s="41"/>
      <c r="Z170" s="41"/>
    </row>
    <row r="171">
      <c r="A171" s="41"/>
      <c r="B171" s="41"/>
      <c r="C171" s="53"/>
      <c r="D171" s="53"/>
      <c r="E171" s="53"/>
      <c r="F171" s="53"/>
      <c r="G171" s="53"/>
      <c r="H171" s="53"/>
      <c r="I171" s="53"/>
      <c r="J171" s="53"/>
      <c r="K171" s="41"/>
      <c r="L171" s="41"/>
      <c r="M171" s="41"/>
      <c r="N171" s="41"/>
      <c r="O171" s="41"/>
      <c r="P171" s="41"/>
      <c r="Q171" s="41"/>
      <c r="R171" s="41"/>
      <c r="S171" s="41"/>
      <c r="T171" s="41"/>
      <c r="U171" s="41"/>
      <c r="V171" s="41"/>
      <c r="W171" s="41"/>
      <c r="X171" s="41"/>
      <c r="Y171" s="41"/>
      <c r="Z171" s="41"/>
    </row>
    <row r="172">
      <c r="A172" s="41"/>
      <c r="B172" s="41"/>
      <c r="C172" s="53"/>
      <c r="D172" s="53"/>
      <c r="E172" s="53"/>
      <c r="F172" s="53"/>
      <c r="G172" s="53"/>
      <c r="H172" s="53"/>
      <c r="I172" s="53"/>
      <c r="J172" s="53"/>
      <c r="K172" s="41"/>
      <c r="L172" s="41"/>
      <c r="M172" s="41"/>
      <c r="N172" s="41"/>
      <c r="O172" s="41"/>
      <c r="P172" s="41"/>
      <c r="Q172" s="41"/>
      <c r="R172" s="41"/>
      <c r="S172" s="41"/>
      <c r="T172" s="41"/>
      <c r="U172" s="41"/>
      <c r="V172" s="41"/>
      <c r="W172" s="41"/>
      <c r="X172" s="41"/>
      <c r="Y172" s="41"/>
      <c r="Z172" s="41"/>
    </row>
    <row r="173">
      <c r="A173" s="41"/>
      <c r="B173" s="41"/>
      <c r="C173" s="53"/>
      <c r="D173" s="53"/>
      <c r="E173" s="53"/>
      <c r="F173" s="53"/>
      <c r="G173" s="53"/>
      <c r="H173" s="53"/>
      <c r="I173" s="53"/>
      <c r="J173" s="53"/>
      <c r="K173" s="41"/>
      <c r="L173" s="41"/>
      <c r="M173" s="41"/>
      <c r="N173" s="41"/>
      <c r="O173" s="41"/>
      <c r="P173" s="41"/>
      <c r="Q173" s="41"/>
      <c r="R173" s="41"/>
      <c r="S173" s="41"/>
      <c r="T173" s="41"/>
      <c r="U173" s="41"/>
      <c r="V173" s="41"/>
      <c r="W173" s="41"/>
      <c r="X173" s="41"/>
      <c r="Y173" s="41"/>
      <c r="Z173" s="41"/>
    </row>
    <row r="174">
      <c r="A174" s="41"/>
      <c r="B174" s="41"/>
      <c r="C174" s="53"/>
      <c r="D174" s="53"/>
      <c r="E174" s="53"/>
      <c r="F174" s="53"/>
      <c r="G174" s="53"/>
      <c r="H174" s="53"/>
      <c r="I174" s="53"/>
      <c r="J174" s="53"/>
      <c r="K174" s="41"/>
      <c r="L174" s="41"/>
      <c r="M174" s="41"/>
      <c r="N174" s="41"/>
      <c r="O174" s="41"/>
      <c r="P174" s="41"/>
      <c r="Q174" s="41"/>
      <c r="R174" s="41"/>
      <c r="S174" s="41"/>
      <c r="T174" s="41"/>
      <c r="U174" s="41"/>
      <c r="V174" s="41"/>
      <c r="W174" s="41"/>
      <c r="X174" s="41"/>
      <c r="Y174" s="41"/>
      <c r="Z174" s="41"/>
    </row>
    <row r="175">
      <c r="A175" s="41"/>
      <c r="B175" s="41"/>
      <c r="C175" s="53"/>
      <c r="D175" s="53"/>
      <c r="E175" s="53"/>
      <c r="F175" s="53"/>
      <c r="G175" s="53"/>
      <c r="H175" s="53"/>
      <c r="I175" s="53"/>
      <c r="J175" s="53"/>
      <c r="K175" s="41"/>
      <c r="L175" s="41"/>
      <c r="M175" s="41"/>
      <c r="N175" s="41"/>
      <c r="O175" s="41"/>
      <c r="P175" s="41"/>
      <c r="Q175" s="41"/>
      <c r="R175" s="41"/>
      <c r="S175" s="41"/>
      <c r="T175" s="41"/>
      <c r="U175" s="41"/>
      <c r="V175" s="41"/>
      <c r="W175" s="41"/>
      <c r="X175" s="41"/>
      <c r="Y175" s="41"/>
      <c r="Z175" s="41"/>
    </row>
    <row r="176">
      <c r="A176" s="41"/>
      <c r="B176" s="41"/>
      <c r="C176" s="53"/>
      <c r="D176" s="53"/>
      <c r="E176" s="53"/>
      <c r="F176" s="53"/>
      <c r="G176" s="53"/>
      <c r="H176" s="53"/>
      <c r="I176" s="53"/>
      <c r="J176" s="53"/>
      <c r="K176" s="41"/>
      <c r="L176" s="41"/>
      <c r="M176" s="41"/>
      <c r="N176" s="41"/>
      <c r="O176" s="41"/>
      <c r="P176" s="41"/>
      <c r="Q176" s="41"/>
      <c r="R176" s="41"/>
      <c r="S176" s="41"/>
      <c r="T176" s="41"/>
      <c r="U176" s="41"/>
      <c r="V176" s="41"/>
      <c r="W176" s="41"/>
      <c r="X176" s="41"/>
      <c r="Y176" s="41"/>
      <c r="Z176" s="41"/>
    </row>
    <row r="177">
      <c r="A177" s="41"/>
      <c r="B177" s="41"/>
      <c r="C177" s="53"/>
      <c r="D177" s="53"/>
      <c r="E177" s="53"/>
      <c r="F177" s="53"/>
      <c r="G177" s="53"/>
      <c r="H177" s="53"/>
      <c r="I177" s="53"/>
      <c r="J177" s="53"/>
      <c r="K177" s="41"/>
      <c r="L177" s="41"/>
      <c r="M177" s="41"/>
      <c r="N177" s="41"/>
      <c r="O177" s="41"/>
      <c r="P177" s="41"/>
      <c r="Q177" s="41"/>
      <c r="R177" s="41"/>
      <c r="S177" s="41"/>
      <c r="T177" s="41"/>
      <c r="U177" s="41"/>
      <c r="V177" s="41"/>
      <c r="W177" s="41"/>
      <c r="X177" s="41"/>
      <c r="Y177" s="41"/>
      <c r="Z177" s="41"/>
    </row>
    <row r="178">
      <c r="A178" s="41"/>
      <c r="B178" s="41"/>
      <c r="C178" s="53"/>
      <c r="D178" s="53"/>
      <c r="E178" s="53"/>
      <c r="F178" s="53"/>
      <c r="G178" s="53"/>
      <c r="H178" s="53"/>
      <c r="I178" s="53"/>
      <c r="J178" s="53"/>
      <c r="K178" s="41"/>
      <c r="L178" s="41"/>
      <c r="M178" s="41"/>
      <c r="N178" s="41"/>
      <c r="O178" s="41"/>
      <c r="P178" s="41"/>
      <c r="Q178" s="41"/>
      <c r="R178" s="41"/>
      <c r="S178" s="41"/>
      <c r="T178" s="41"/>
      <c r="U178" s="41"/>
      <c r="V178" s="41"/>
      <c r="W178" s="41"/>
      <c r="X178" s="41"/>
      <c r="Y178" s="41"/>
      <c r="Z178" s="41"/>
    </row>
    <row r="179">
      <c r="A179" s="41"/>
      <c r="B179" s="41"/>
      <c r="C179" s="53"/>
      <c r="D179" s="53"/>
      <c r="E179" s="53"/>
      <c r="F179" s="53"/>
      <c r="G179" s="53"/>
      <c r="H179" s="53"/>
      <c r="I179" s="53"/>
      <c r="J179" s="53"/>
      <c r="K179" s="41"/>
      <c r="L179" s="41"/>
      <c r="M179" s="41"/>
      <c r="N179" s="41"/>
      <c r="O179" s="41"/>
      <c r="P179" s="41"/>
      <c r="Q179" s="41"/>
      <c r="R179" s="41"/>
      <c r="S179" s="41"/>
      <c r="T179" s="41"/>
      <c r="U179" s="41"/>
      <c r="V179" s="41"/>
      <c r="W179" s="41"/>
      <c r="X179" s="41"/>
      <c r="Y179" s="41"/>
      <c r="Z179" s="41"/>
    </row>
    <row r="180">
      <c r="A180" s="41"/>
      <c r="B180" s="41"/>
      <c r="C180" s="53"/>
      <c r="D180" s="53"/>
      <c r="E180" s="53"/>
      <c r="F180" s="53"/>
      <c r="G180" s="53"/>
      <c r="H180" s="53"/>
      <c r="I180" s="53"/>
      <c r="J180" s="53"/>
      <c r="K180" s="41"/>
      <c r="L180" s="41"/>
      <c r="M180" s="41"/>
      <c r="N180" s="41"/>
      <c r="O180" s="41"/>
      <c r="P180" s="41"/>
      <c r="Q180" s="41"/>
      <c r="R180" s="41"/>
      <c r="S180" s="41"/>
      <c r="T180" s="41"/>
      <c r="U180" s="41"/>
      <c r="V180" s="41"/>
      <c r="W180" s="41"/>
      <c r="X180" s="41"/>
      <c r="Y180" s="41"/>
      <c r="Z180" s="41"/>
    </row>
    <row r="181">
      <c r="A181" s="41"/>
      <c r="B181" s="41"/>
      <c r="C181" s="53"/>
      <c r="D181" s="53"/>
      <c r="E181" s="53"/>
      <c r="F181" s="53"/>
      <c r="G181" s="53"/>
      <c r="H181" s="53"/>
      <c r="I181" s="53"/>
      <c r="J181" s="53"/>
      <c r="K181" s="41"/>
      <c r="L181" s="41"/>
      <c r="M181" s="41"/>
      <c r="N181" s="41"/>
      <c r="O181" s="41"/>
      <c r="P181" s="41"/>
      <c r="Q181" s="41"/>
      <c r="R181" s="41"/>
      <c r="S181" s="41"/>
      <c r="T181" s="41"/>
      <c r="U181" s="41"/>
      <c r="V181" s="41"/>
      <c r="W181" s="41"/>
      <c r="X181" s="41"/>
      <c r="Y181" s="41"/>
      <c r="Z181" s="41"/>
    </row>
    <row r="182">
      <c r="A182" s="41"/>
      <c r="B182" s="41"/>
      <c r="C182" s="53"/>
      <c r="D182" s="53"/>
      <c r="E182" s="53"/>
      <c r="F182" s="53"/>
      <c r="G182" s="53"/>
      <c r="H182" s="53"/>
      <c r="I182" s="53"/>
      <c r="J182" s="53"/>
      <c r="K182" s="41"/>
      <c r="L182" s="41"/>
      <c r="M182" s="41"/>
      <c r="N182" s="41"/>
      <c r="O182" s="41"/>
      <c r="P182" s="41"/>
      <c r="Q182" s="41"/>
      <c r="R182" s="41"/>
      <c r="S182" s="41"/>
      <c r="T182" s="41"/>
      <c r="U182" s="41"/>
      <c r="V182" s="41"/>
      <c r="W182" s="41"/>
      <c r="X182" s="41"/>
      <c r="Y182" s="41"/>
      <c r="Z182" s="41"/>
    </row>
    <row r="183">
      <c r="A183" s="41"/>
      <c r="B183" s="41"/>
      <c r="C183" s="53"/>
      <c r="D183" s="53"/>
      <c r="E183" s="53"/>
      <c r="F183" s="53"/>
      <c r="G183" s="53"/>
      <c r="H183" s="53"/>
      <c r="I183" s="53"/>
      <c r="J183" s="53"/>
      <c r="K183" s="41"/>
      <c r="L183" s="41"/>
      <c r="M183" s="41"/>
      <c r="N183" s="41"/>
      <c r="O183" s="41"/>
      <c r="P183" s="41"/>
      <c r="Q183" s="41"/>
      <c r="R183" s="41"/>
      <c r="S183" s="41"/>
      <c r="T183" s="41"/>
      <c r="U183" s="41"/>
      <c r="V183" s="41"/>
      <c r="W183" s="41"/>
      <c r="X183" s="41"/>
      <c r="Y183" s="41"/>
      <c r="Z183" s="41"/>
    </row>
    <row r="184">
      <c r="A184" s="41"/>
      <c r="B184" s="41"/>
      <c r="C184" s="53"/>
      <c r="D184" s="53"/>
      <c r="E184" s="53"/>
      <c r="F184" s="53"/>
      <c r="G184" s="53"/>
      <c r="H184" s="53"/>
      <c r="I184" s="53"/>
      <c r="J184" s="53"/>
      <c r="K184" s="41"/>
      <c r="L184" s="41"/>
      <c r="M184" s="41"/>
      <c r="N184" s="41"/>
      <c r="O184" s="41"/>
      <c r="P184" s="41"/>
      <c r="Q184" s="41"/>
      <c r="R184" s="41"/>
      <c r="S184" s="41"/>
      <c r="T184" s="41"/>
      <c r="U184" s="41"/>
      <c r="V184" s="41"/>
      <c r="W184" s="41"/>
      <c r="X184" s="41"/>
      <c r="Y184" s="41"/>
      <c r="Z184" s="41"/>
    </row>
    <row r="185">
      <c r="A185" s="41"/>
      <c r="B185" s="41"/>
      <c r="C185" s="53"/>
      <c r="D185" s="53"/>
      <c r="E185" s="53"/>
      <c r="F185" s="53"/>
      <c r="G185" s="53"/>
      <c r="H185" s="53"/>
      <c r="I185" s="53"/>
      <c r="J185" s="53"/>
      <c r="K185" s="41"/>
      <c r="L185" s="41"/>
      <c r="M185" s="41"/>
      <c r="N185" s="41"/>
      <c r="O185" s="41"/>
      <c r="P185" s="41"/>
      <c r="Q185" s="41"/>
      <c r="R185" s="41"/>
      <c r="S185" s="41"/>
      <c r="T185" s="41"/>
      <c r="U185" s="41"/>
      <c r="V185" s="41"/>
      <c r="W185" s="41"/>
      <c r="X185" s="41"/>
      <c r="Y185" s="41"/>
      <c r="Z185" s="41"/>
    </row>
    <row r="186">
      <c r="A186" s="41"/>
      <c r="B186" s="41"/>
      <c r="C186" s="53"/>
      <c r="D186" s="53"/>
      <c r="E186" s="53"/>
      <c r="F186" s="53"/>
      <c r="G186" s="53"/>
      <c r="H186" s="53"/>
      <c r="I186" s="53"/>
      <c r="J186" s="53"/>
      <c r="K186" s="41"/>
      <c r="L186" s="41"/>
      <c r="M186" s="41"/>
      <c r="N186" s="41"/>
      <c r="O186" s="41"/>
      <c r="P186" s="41"/>
      <c r="Q186" s="41"/>
      <c r="R186" s="41"/>
      <c r="S186" s="41"/>
      <c r="T186" s="41"/>
      <c r="U186" s="41"/>
      <c r="V186" s="41"/>
      <c r="W186" s="41"/>
      <c r="X186" s="41"/>
      <c r="Y186" s="41"/>
      <c r="Z186" s="41"/>
    </row>
    <row r="187">
      <c r="A187" s="41"/>
      <c r="B187" s="41"/>
      <c r="C187" s="53"/>
      <c r="D187" s="53"/>
      <c r="E187" s="53"/>
      <c r="F187" s="53"/>
      <c r="G187" s="53"/>
      <c r="H187" s="53"/>
      <c r="I187" s="53"/>
      <c r="J187" s="53"/>
      <c r="K187" s="41"/>
      <c r="L187" s="41"/>
      <c r="M187" s="41"/>
      <c r="N187" s="41"/>
      <c r="O187" s="41"/>
      <c r="P187" s="41"/>
      <c r="Q187" s="41"/>
      <c r="R187" s="41"/>
      <c r="S187" s="41"/>
      <c r="T187" s="41"/>
      <c r="U187" s="41"/>
      <c r="V187" s="41"/>
      <c r="W187" s="41"/>
      <c r="X187" s="41"/>
      <c r="Y187" s="41"/>
      <c r="Z187" s="41"/>
    </row>
    <row r="188">
      <c r="A188" s="41"/>
      <c r="B188" s="41"/>
      <c r="C188" s="53"/>
      <c r="D188" s="53"/>
      <c r="E188" s="53"/>
      <c r="F188" s="53"/>
      <c r="G188" s="53"/>
      <c r="H188" s="53"/>
      <c r="I188" s="53"/>
      <c r="J188" s="53"/>
      <c r="K188" s="41"/>
      <c r="L188" s="41"/>
      <c r="M188" s="41"/>
      <c r="N188" s="41"/>
      <c r="O188" s="41"/>
      <c r="P188" s="41"/>
      <c r="Q188" s="41"/>
      <c r="R188" s="41"/>
      <c r="S188" s="41"/>
      <c r="T188" s="41"/>
      <c r="U188" s="41"/>
      <c r="V188" s="41"/>
      <c r="W188" s="41"/>
      <c r="X188" s="41"/>
      <c r="Y188" s="41"/>
      <c r="Z188" s="41"/>
    </row>
    <row r="189">
      <c r="A189" s="41"/>
      <c r="B189" s="41"/>
      <c r="C189" s="53"/>
      <c r="D189" s="53"/>
      <c r="E189" s="53"/>
      <c r="F189" s="53"/>
      <c r="G189" s="53"/>
      <c r="H189" s="53"/>
      <c r="I189" s="53"/>
      <c r="J189" s="53"/>
      <c r="K189" s="41"/>
      <c r="L189" s="41"/>
      <c r="M189" s="41"/>
      <c r="N189" s="41"/>
      <c r="O189" s="41"/>
      <c r="P189" s="41"/>
      <c r="Q189" s="41"/>
      <c r="R189" s="41"/>
      <c r="S189" s="41"/>
      <c r="T189" s="41"/>
      <c r="U189" s="41"/>
      <c r="V189" s="41"/>
      <c r="W189" s="41"/>
      <c r="X189" s="41"/>
      <c r="Y189" s="41"/>
      <c r="Z189" s="41"/>
    </row>
    <row r="190">
      <c r="A190" s="41"/>
      <c r="B190" s="41"/>
      <c r="C190" s="53"/>
      <c r="D190" s="53"/>
      <c r="E190" s="53"/>
      <c r="F190" s="53"/>
      <c r="G190" s="53"/>
      <c r="H190" s="53"/>
      <c r="I190" s="53"/>
      <c r="J190" s="53"/>
      <c r="K190" s="41"/>
      <c r="L190" s="41"/>
      <c r="M190" s="41"/>
      <c r="N190" s="41"/>
      <c r="O190" s="41"/>
      <c r="P190" s="41"/>
      <c r="Q190" s="41"/>
      <c r="R190" s="41"/>
      <c r="S190" s="41"/>
      <c r="T190" s="41"/>
      <c r="U190" s="41"/>
      <c r="V190" s="41"/>
      <c r="W190" s="41"/>
      <c r="X190" s="41"/>
      <c r="Y190" s="41"/>
      <c r="Z190" s="41"/>
    </row>
    <row r="191">
      <c r="A191" s="41"/>
      <c r="B191" s="41"/>
      <c r="C191" s="53"/>
      <c r="D191" s="53"/>
      <c r="E191" s="53"/>
      <c r="F191" s="53"/>
      <c r="G191" s="53"/>
      <c r="H191" s="53"/>
      <c r="I191" s="53"/>
      <c r="J191" s="53"/>
      <c r="K191" s="41"/>
      <c r="L191" s="41"/>
      <c r="M191" s="41"/>
      <c r="N191" s="41"/>
      <c r="O191" s="41"/>
      <c r="P191" s="41"/>
      <c r="Q191" s="41"/>
      <c r="R191" s="41"/>
      <c r="S191" s="41"/>
      <c r="T191" s="41"/>
      <c r="U191" s="41"/>
      <c r="V191" s="41"/>
      <c r="W191" s="41"/>
      <c r="X191" s="41"/>
      <c r="Y191" s="41"/>
      <c r="Z191" s="41"/>
    </row>
    <row r="192">
      <c r="A192" s="41"/>
      <c r="B192" s="41"/>
      <c r="C192" s="53"/>
      <c r="D192" s="53"/>
      <c r="E192" s="53"/>
      <c r="F192" s="53"/>
      <c r="G192" s="53"/>
      <c r="H192" s="53"/>
      <c r="I192" s="53"/>
      <c r="J192" s="53"/>
      <c r="K192" s="41"/>
      <c r="L192" s="41"/>
      <c r="M192" s="41"/>
      <c r="N192" s="41"/>
      <c r="O192" s="41"/>
      <c r="P192" s="41"/>
      <c r="Q192" s="41"/>
      <c r="R192" s="41"/>
      <c r="S192" s="41"/>
      <c r="T192" s="41"/>
      <c r="U192" s="41"/>
      <c r="V192" s="41"/>
      <c r="W192" s="41"/>
      <c r="X192" s="41"/>
      <c r="Y192" s="41"/>
      <c r="Z192" s="41"/>
    </row>
    <row r="193">
      <c r="A193" s="41"/>
      <c r="B193" s="41"/>
      <c r="C193" s="53"/>
      <c r="D193" s="53"/>
      <c r="E193" s="53"/>
      <c r="F193" s="53"/>
      <c r="G193" s="53"/>
      <c r="H193" s="53"/>
      <c r="I193" s="53"/>
      <c r="J193" s="53"/>
      <c r="K193" s="41"/>
      <c r="L193" s="41"/>
      <c r="M193" s="41"/>
      <c r="N193" s="41"/>
      <c r="O193" s="41"/>
      <c r="P193" s="41"/>
      <c r="Q193" s="41"/>
      <c r="R193" s="41"/>
      <c r="S193" s="41"/>
      <c r="T193" s="41"/>
      <c r="U193" s="41"/>
      <c r="V193" s="41"/>
      <c r="W193" s="41"/>
      <c r="X193" s="41"/>
      <c r="Y193" s="41"/>
      <c r="Z193" s="41"/>
    </row>
    <row r="194">
      <c r="A194" s="41"/>
      <c r="B194" s="41"/>
      <c r="C194" s="53"/>
      <c r="D194" s="53"/>
      <c r="E194" s="53"/>
      <c r="F194" s="53"/>
      <c r="G194" s="53"/>
      <c r="H194" s="53"/>
      <c r="I194" s="53"/>
      <c r="J194" s="53"/>
      <c r="K194" s="41"/>
      <c r="L194" s="41"/>
      <c r="M194" s="41"/>
      <c r="N194" s="41"/>
      <c r="O194" s="41"/>
      <c r="P194" s="41"/>
      <c r="Q194" s="41"/>
      <c r="R194" s="41"/>
      <c r="S194" s="41"/>
      <c r="T194" s="41"/>
      <c r="U194" s="41"/>
      <c r="V194" s="41"/>
      <c r="W194" s="41"/>
      <c r="X194" s="41"/>
      <c r="Y194" s="41"/>
      <c r="Z194" s="41"/>
    </row>
    <row r="195">
      <c r="A195" s="41"/>
      <c r="B195" s="41"/>
      <c r="C195" s="53"/>
      <c r="D195" s="53"/>
      <c r="E195" s="53"/>
      <c r="F195" s="53"/>
      <c r="G195" s="53"/>
      <c r="H195" s="53"/>
      <c r="I195" s="53"/>
      <c r="J195" s="53"/>
      <c r="K195" s="41"/>
      <c r="L195" s="41"/>
      <c r="M195" s="41"/>
      <c r="N195" s="41"/>
      <c r="O195" s="41"/>
      <c r="P195" s="41"/>
      <c r="Q195" s="41"/>
      <c r="R195" s="41"/>
      <c r="S195" s="41"/>
      <c r="T195" s="41"/>
      <c r="U195" s="41"/>
      <c r="V195" s="41"/>
      <c r="W195" s="41"/>
      <c r="X195" s="41"/>
      <c r="Y195" s="41"/>
      <c r="Z195" s="41"/>
    </row>
    <row r="196">
      <c r="A196" s="41"/>
      <c r="B196" s="41"/>
      <c r="C196" s="53"/>
      <c r="D196" s="53"/>
      <c r="E196" s="53"/>
      <c r="F196" s="53"/>
      <c r="G196" s="53"/>
      <c r="H196" s="53"/>
      <c r="I196" s="53"/>
      <c r="J196" s="53"/>
      <c r="K196" s="41"/>
      <c r="L196" s="41"/>
      <c r="M196" s="41"/>
      <c r="N196" s="41"/>
      <c r="O196" s="41"/>
      <c r="P196" s="41"/>
      <c r="Q196" s="41"/>
      <c r="R196" s="41"/>
      <c r="S196" s="41"/>
      <c r="T196" s="41"/>
      <c r="U196" s="41"/>
      <c r="V196" s="41"/>
      <c r="W196" s="41"/>
      <c r="X196" s="41"/>
      <c r="Y196" s="41"/>
      <c r="Z196" s="41"/>
    </row>
    <row r="197">
      <c r="A197" s="41"/>
      <c r="B197" s="41"/>
      <c r="C197" s="53"/>
      <c r="D197" s="53"/>
      <c r="E197" s="53"/>
      <c r="F197" s="53"/>
      <c r="G197" s="53"/>
      <c r="H197" s="53"/>
      <c r="I197" s="53"/>
      <c r="J197" s="53"/>
      <c r="K197" s="41"/>
      <c r="L197" s="41"/>
      <c r="M197" s="41"/>
      <c r="N197" s="41"/>
      <c r="O197" s="41"/>
      <c r="P197" s="41"/>
      <c r="Q197" s="41"/>
      <c r="R197" s="41"/>
      <c r="S197" s="41"/>
      <c r="T197" s="41"/>
      <c r="U197" s="41"/>
      <c r="V197" s="41"/>
      <c r="W197" s="41"/>
      <c r="X197" s="41"/>
      <c r="Y197" s="41"/>
      <c r="Z197" s="41"/>
    </row>
    <row r="198">
      <c r="A198" s="41"/>
      <c r="B198" s="41"/>
      <c r="C198" s="53"/>
      <c r="D198" s="53"/>
      <c r="E198" s="53"/>
      <c r="F198" s="53"/>
      <c r="G198" s="53"/>
      <c r="H198" s="53"/>
      <c r="I198" s="53"/>
      <c r="J198" s="53"/>
      <c r="K198" s="41"/>
      <c r="L198" s="41"/>
      <c r="M198" s="41"/>
      <c r="N198" s="41"/>
      <c r="O198" s="41"/>
      <c r="P198" s="41"/>
      <c r="Q198" s="41"/>
      <c r="R198" s="41"/>
      <c r="S198" s="41"/>
      <c r="T198" s="41"/>
      <c r="U198" s="41"/>
      <c r="V198" s="41"/>
      <c r="W198" s="41"/>
      <c r="X198" s="41"/>
      <c r="Y198" s="41"/>
      <c r="Z198" s="41"/>
    </row>
    <row r="199">
      <c r="A199" s="41"/>
      <c r="B199" s="41"/>
      <c r="C199" s="53"/>
      <c r="D199" s="53"/>
      <c r="E199" s="53"/>
      <c r="F199" s="53"/>
      <c r="G199" s="53"/>
      <c r="H199" s="53"/>
      <c r="I199" s="53"/>
      <c r="J199" s="53"/>
      <c r="K199" s="41"/>
      <c r="L199" s="41"/>
      <c r="M199" s="41"/>
      <c r="N199" s="41"/>
      <c r="O199" s="41"/>
      <c r="P199" s="41"/>
      <c r="Q199" s="41"/>
      <c r="R199" s="41"/>
      <c r="S199" s="41"/>
      <c r="T199" s="41"/>
      <c r="U199" s="41"/>
      <c r="V199" s="41"/>
      <c r="W199" s="41"/>
      <c r="X199" s="41"/>
      <c r="Y199" s="41"/>
      <c r="Z199" s="41"/>
    </row>
    <row r="200">
      <c r="A200" s="41"/>
      <c r="B200" s="41"/>
      <c r="C200" s="53"/>
      <c r="D200" s="53"/>
      <c r="E200" s="53"/>
      <c r="F200" s="53"/>
      <c r="G200" s="53"/>
      <c r="H200" s="53"/>
      <c r="I200" s="53"/>
      <c r="J200" s="53"/>
      <c r="K200" s="41"/>
      <c r="L200" s="41"/>
      <c r="M200" s="41"/>
      <c r="N200" s="41"/>
      <c r="O200" s="41"/>
      <c r="P200" s="41"/>
      <c r="Q200" s="41"/>
      <c r="R200" s="41"/>
      <c r="S200" s="41"/>
      <c r="T200" s="41"/>
      <c r="U200" s="41"/>
      <c r="V200" s="41"/>
      <c r="W200" s="41"/>
      <c r="X200" s="41"/>
      <c r="Y200" s="41"/>
      <c r="Z200" s="41"/>
    </row>
    <row r="201">
      <c r="A201" s="41"/>
      <c r="B201" s="41"/>
      <c r="C201" s="53"/>
      <c r="D201" s="53"/>
      <c r="E201" s="53"/>
      <c r="F201" s="53"/>
      <c r="G201" s="53"/>
      <c r="H201" s="53"/>
      <c r="I201" s="53"/>
      <c r="J201" s="53"/>
      <c r="K201" s="41"/>
      <c r="L201" s="41"/>
      <c r="M201" s="41"/>
      <c r="N201" s="41"/>
      <c r="O201" s="41"/>
      <c r="P201" s="41"/>
      <c r="Q201" s="41"/>
      <c r="R201" s="41"/>
      <c r="S201" s="41"/>
      <c r="T201" s="41"/>
      <c r="U201" s="41"/>
      <c r="V201" s="41"/>
      <c r="W201" s="41"/>
      <c r="X201" s="41"/>
      <c r="Y201" s="41"/>
      <c r="Z201" s="41"/>
    </row>
    <row r="202">
      <c r="A202" s="41"/>
      <c r="B202" s="41"/>
      <c r="C202" s="53"/>
      <c r="D202" s="53"/>
      <c r="E202" s="53"/>
      <c r="F202" s="53"/>
      <c r="G202" s="53"/>
      <c r="H202" s="53"/>
      <c r="I202" s="53"/>
      <c r="J202" s="53"/>
      <c r="K202" s="41"/>
      <c r="L202" s="41"/>
      <c r="M202" s="41"/>
      <c r="N202" s="41"/>
      <c r="O202" s="41"/>
      <c r="P202" s="41"/>
      <c r="Q202" s="41"/>
      <c r="R202" s="41"/>
      <c r="S202" s="41"/>
      <c r="T202" s="41"/>
      <c r="U202" s="41"/>
      <c r="V202" s="41"/>
      <c r="W202" s="41"/>
      <c r="X202" s="41"/>
      <c r="Y202" s="41"/>
      <c r="Z202" s="41"/>
    </row>
    <row r="203">
      <c r="A203" s="41"/>
      <c r="B203" s="41"/>
      <c r="C203" s="53"/>
      <c r="D203" s="53"/>
      <c r="E203" s="53"/>
      <c r="F203" s="53"/>
      <c r="G203" s="53"/>
      <c r="H203" s="53"/>
      <c r="I203" s="53"/>
      <c r="J203" s="53"/>
      <c r="K203" s="41"/>
      <c r="L203" s="41"/>
      <c r="M203" s="41"/>
      <c r="N203" s="41"/>
      <c r="O203" s="41"/>
      <c r="P203" s="41"/>
      <c r="Q203" s="41"/>
      <c r="R203" s="41"/>
      <c r="S203" s="41"/>
      <c r="T203" s="41"/>
      <c r="U203" s="41"/>
      <c r="V203" s="41"/>
      <c r="W203" s="41"/>
      <c r="X203" s="41"/>
      <c r="Y203" s="41"/>
      <c r="Z203" s="41"/>
    </row>
    <row r="204">
      <c r="A204" s="41"/>
      <c r="B204" s="41"/>
      <c r="C204" s="53"/>
      <c r="D204" s="53"/>
      <c r="E204" s="53"/>
      <c r="F204" s="53"/>
      <c r="G204" s="53"/>
      <c r="H204" s="53"/>
      <c r="I204" s="53"/>
      <c r="J204" s="53"/>
      <c r="K204" s="41"/>
      <c r="L204" s="41"/>
      <c r="M204" s="41"/>
      <c r="N204" s="41"/>
      <c r="O204" s="41"/>
      <c r="P204" s="41"/>
      <c r="Q204" s="41"/>
      <c r="R204" s="41"/>
      <c r="S204" s="41"/>
      <c r="T204" s="41"/>
      <c r="U204" s="41"/>
      <c r="V204" s="41"/>
      <c r="W204" s="41"/>
      <c r="X204" s="41"/>
      <c r="Y204" s="41"/>
      <c r="Z204" s="41"/>
    </row>
    <row r="205">
      <c r="A205" s="41"/>
      <c r="B205" s="41"/>
      <c r="C205" s="53"/>
      <c r="D205" s="53"/>
      <c r="E205" s="53"/>
      <c r="F205" s="53"/>
      <c r="G205" s="53"/>
      <c r="H205" s="53"/>
      <c r="I205" s="53"/>
      <c r="J205" s="53"/>
      <c r="K205" s="41"/>
      <c r="L205" s="41"/>
      <c r="M205" s="41"/>
      <c r="N205" s="41"/>
      <c r="O205" s="41"/>
      <c r="P205" s="41"/>
      <c r="Q205" s="41"/>
      <c r="R205" s="41"/>
      <c r="S205" s="41"/>
      <c r="T205" s="41"/>
      <c r="U205" s="41"/>
      <c r="V205" s="41"/>
      <c r="W205" s="41"/>
      <c r="X205" s="41"/>
      <c r="Y205" s="41"/>
      <c r="Z205" s="41"/>
    </row>
    <row r="206">
      <c r="A206" s="41"/>
      <c r="B206" s="41"/>
      <c r="C206" s="53"/>
      <c r="D206" s="53"/>
      <c r="E206" s="53"/>
      <c r="F206" s="53"/>
      <c r="G206" s="53"/>
      <c r="H206" s="53"/>
      <c r="I206" s="53"/>
      <c r="J206" s="53"/>
      <c r="K206" s="41"/>
      <c r="L206" s="41"/>
      <c r="M206" s="41"/>
      <c r="N206" s="41"/>
      <c r="O206" s="41"/>
      <c r="P206" s="41"/>
      <c r="Q206" s="41"/>
      <c r="R206" s="41"/>
      <c r="S206" s="41"/>
      <c r="T206" s="41"/>
      <c r="U206" s="41"/>
      <c r="V206" s="41"/>
      <c r="W206" s="41"/>
      <c r="X206" s="41"/>
      <c r="Y206" s="41"/>
      <c r="Z206" s="41"/>
    </row>
    <row r="207">
      <c r="A207" s="41"/>
      <c r="B207" s="41"/>
      <c r="C207" s="53"/>
      <c r="D207" s="53"/>
      <c r="E207" s="53"/>
      <c r="F207" s="53"/>
      <c r="G207" s="53"/>
      <c r="H207" s="53"/>
      <c r="I207" s="53"/>
      <c r="J207" s="53"/>
      <c r="K207" s="41"/>
      <c r="L207" s="41"/>
      <c r="M207" s="41"/>
      <c r="N207" s="41"/>
      <c r="O207" s="41"/>
      <c r="P207" s="41"/>
      <c r="Q207" s="41"/>
      <c r="R207" s="41"/>
      <c r="S207" s="41"/>
      <c r="T207" s="41"/>
      <c r="U207" s="41"/>
      <c r="V207" s="41"/>
      <c r="W207" s="41"/>
      <c r="X207" s="41"/>
      <c r="Y207" s="41"/>
      <c r="Z207" s="41"/>
    </row>
    <row r="208">
      <c r="A208" s="41"/>
      <c r="B208" s="41"/>
      <c r="C208" s="53"/>
      <c r="D208" s="53"/>
      <c r="E208" s="53"/>
      <c r="F208" s="53"/>
      <c r="G208" s="53"/>
      <c r="H208" s="53"/>
      <c r="I208" s="53"/>
      <c r="J208" s="53"/>
      <c r="K208" s="41"/>
      <c r="L208" s="41"/>
      <c r="M208" s="41"/>
      <c r="N208" s="41"/>
      <c r="O208" s="41"/>
      <c r="P208" s="41"/>
      <c r="Q208" s="41"/>
      <c r="R208" s="41"/>
      <c r="S208" s="41"/>
      <c r="T208" s="41"/>
      <c r="U208" s="41"/>
      <c r="V208" s="41"/>
      <c r="W208" s="41"/>
      <c r="X208" s="41"/>
      <c r="Y208" s="41"/>
      <c r="Z208" s="41"/>
    </row>
    <row r="209">
      <c r="A209" s="41"/>
      <c r="B209" s="41"/>
      <c r="C209" s="53"/>
      <c r="D209" s="53"/>
      <c r="E209" s="53"/>
      <c r="F209" s="53"/>
      <c r="G209" s="53"/>
      <c r="H209" s="53"/>
      <c r="I209" s="53"/>
      <c r="J209" s="53"/>
      <c r="K209" s="41"/>
      <c r="L209" s="41"/>
      <c r="M209" s="41"/>
      <c r="N209" s="41"/>
      <c r="O209" s="41"/>
      <c r="P209" s="41"/>
      <c r="Q209" s="41"/>
      <c r="R209" s="41"/>
      <c r="S209" s="41"/>
      <c r="T209" s="41"/>
      <c r="U209" s="41"/>
      <c r="V209" s="41"/>
      <c r="W209" s="41"/>
      <c r="X209" s="41"/>
      <c r="Y209" s="41"/>
      <c r="Z209" s="41"/>
    </row>
    <row r="210">
      <c r="A210" s="41"/>
      <c r="B210" s="41"/>
      <c r="C210" s="53"/>
      <c r="D210" s="53"/>
      <c r="E210" s="53"/>
      <c r="F210" s="53"/>
      <c r="G210" s="53"/>
      <c r="H210" s="53"/>
      <c r="I210" s="53"/>
      <c r="J210" s="53"/>
      <c r="K210" s="41"/>
      <c r="L210" s="41"/>
      <c r="M210" s="41"/>
      <c r="N210" s="41"/>
      <c r="O210" s="41"/>
      <c r="P210" s="41"/>
      <c r="Q210" s="41"/>
      <c r="R210" s="41"/>
      <c r="S210" s="41"/>
      <c r="T210" s="41"/>
      <c r="U210" s="41"/>
      <c r="V210" s="41"/>
      <c r="W210" s="41"/>
      <c r="X210" s="41"/>
      <c r="Y210" s="41"/>
      <c r="Z210" s="41"/>
    </row>
    <row r="211">
      <c r="A211" s="41"/>
      <c r="B211" s="41"/>
      <c r="C211" s="53"/>
      <c r="D211" s="53"/>
      <c r="E211" s="53"/>
      <c r="F211" s="53"/>
      <c r="G211" s="53"/>
      <c r="H211" s="53"/>
      <c r="I211" s="53"/>
      <c r="J211" s="53"/>
      <c r="K211" s="41"/>
      <c r="L211" s="41"/>
      <c r="M211" s="41"/>
      <c r="N211" s="41"/>
      <c r="O211" s="41"/>
      <c r="P211" s="41"/>
      <c r="Q211" s="41"/>
      <c r="R211" s="41"/>
      <c r="S211" s="41"/>
      <c r="T211" s="41"/>
      <c r="U211" s="41"/>
      <c r="V211" s="41"/>
      <c r="W211" s="41"/>
      <c r="X211" s="41"/>
      <c r="Y211" s="41"/>
      <c r="Z211" s="41"/>
    </row>
    <row r="212">
      <c r="A212" s="41"/>
      <c r="B212" s="41"/>
      <c r="C212" s="53"/>
      <c r="D212" s="53"/>
      <c r="E212" s="53"/>
      <c r="F212" s="53"/>
      <c r="G212" s="53"/>
      <c r="H212" s="53"/>
      <c r="I212" s="53"/>
      <c r="J212" s="53"/>
      <c r="K212" s="41"/>
      <c r="L212" s="41"/>
      <c r="M212" s="41"/>
      <c r="N212" s="41"/>
      <c r="O212" s="41"/>
      <c r="P212" s="41"/>
      <c r="Q212" s="41"/>
      <c r="R212" s="41"/>
      <c r="S212" s="41"/>
      <c r="T212" s="41"/>
      <c r="U212" s="41"/>
      <c r="V212" s="41"/>
      <c r="W212" s="41"/>
      <c r="X212" s="41"/>
      <c r="Y212" s="41"/>
      <c r="Z212" s="41"/>
    </row>
    <row r="213">
      <c r="A213" s="41"/>
      <c r="B213" s="41"/>
      <c r="C213" s="53"/>
      <c r="D213" s="53"/>
      <c r="E213" s="53"/>
      <c r="F213" s="53"/>
      <c r="G213" s="53"/>
      <c r="H213" s="53"/>
      <c r="I213" s="53"/>
      <c r="J213" s="53"/>
      <c r="K213" s="41"/>
      <c r="L213" s="41"/>
      <c r="M213" s="41"/>
      <c r="N213" s="41"/>
      <c r="O213" s="41"/>
      <c r="P213" s="41"/>
      <c r="Q213" s="41"/>
      <c r="R213" s="41"/>
      <c r="S213" s="41"/>
      <c r="T213" s="41"/>
      <c r="U213" s="41"/>
      <c r="V213" s="41"/>
      <c r="W213" s="41"/>
      <c r="X213" s="41"/>
      <c r="Y213" s="41"/>
      <c r="Z213" s="41"/>
    </row>
    <row r="214">
      <c r="A214" s="41"/>
      <c r="B214" s="41"/>
      <c r="C214" s="53"/>
      <c r="D214" s="53"/>
      <c r="E214" s="53"/>
      <c r="F214" s="53"/>
      <c r="G214" s="53"/>
      <c r="H214" s="53"/>
      <c r="I214" s="53"/>
      <c r="J214" s="53"/>
      <c r="K214" s="41"/>
      <c r="L214" s="41"/>
      <c r="M214" s="41"/>
      <c r="N214" s="41"/>
      <c r="O214" s="41"/>
      <c r="P214" s="41"/>
      <c r="Q214" s="41"/>
      <c r="R214" s="41"/>
      <c r="S214" s="41"/>
      <c r="T214" s="41"/>
      <c r="U214" s="41"/>
      <c r="V214" s="41"/>
      <c r="W214" s="41"/>
      <c r="X214" s="41"/>
      <c r="Y214" s="41"/>
      <c r="Z214" s="41"/>
    </row>
    <row r="215">
      <c r="A215" s="41"/>
      <c r="B215" s="41"/>
      <c r="C215" s="53"/>
      <c r="D215" s="53"/>
      <c r="E215" s="53"/>
      <c r="F215" s="53"/>
      <c r="G215" s="53"/>
      <c r="H215" s="53"/>
      <c r="I215" s="53"/>
      <c r="J215" s="53"/>
      <c r="K215" s="41"/>
      <c r="L215" s="41"/>
      <c r="M215" s="41"/>
      <c r="N215" s="41"/>
      <c r="O215" s="41"/>
      <c r="P215" s="41"/>
      <c r="Q215" s="41"/>
      <c r="R215" s="41"/>
      <c r="S215" s="41"/>
      <c r="T215" s="41"/>
      <c r="U215" s="41"/>
      <c r="V215" s="41"/>
      <c r="W215" s="41"/>
      <c r="X215" s="41"/>
      <c r="Y215" s="41"/>
      <c r="Z215" s="41"/>
    </row>
    <row r="216">
      <c r="A216" s="41"/>
      <c r="B216" s="41"/>
      <c r="C216" s="53"/>
      <c r="D216" s="53"/>
      <c r="E216" s="53"/>
      <c r="F216" s="53"/>
      <c r="G216" s="53"/>
      <c r="H216" s="53"/>
      <c r="I216" s="53"/>
      <c r="J216" s="53"/>
      <c r="K216" s="41"/>
      <c r="L216" s="41"/>
      <c r="M216" s="41"/>
      <c r="N216" s="41"/>
      <c r="O216" s="41"/>
      <c r="P216" s="41"/>
      <c r="Q216" s="41"/>
      <c r="R216" s="41"/>
      <c r="S216" s="41"/>
      <c r="T216" s="41"/>
      <c r="U216" s="41"/>
      <c r="V216" s="41"/>
      <c r="W216" s="41"/>
      <c r="X216" s="41"/>
      <c r="Y216" s="41"/>
      <c r="Z216" s="41"/>
    </row>
    <row r="217">
      <c r="A217" s="41"/>
      <c r="B217" s="41"/>
      <c r="C217" s="53"/>
      <c r="D217" s="53"/>
      <c r="E217" s="53"/>
      <c r="F217" s="53"/>
      <c r="G217" s="53"/>
      <c r="H217" s="53"/>
      <c r="I217" s="53"/>
      <c r="J217" s="53"/>
      <c r="K217" s="41"/>
      <c r="L217" s="41"/>
      <c r="M217" s="41"/>
      <c r="N217" s="41"/>
      <c r="O217" s="41"/>
      <c r="P217" s="41"/>
      <c r="Q217" s="41"/>
      <c r="R217" s="41"/>
      <c r="S217" s="41"/>
      <c r="T217" s="41"/>
      <c r="U217" s="41"/>
      <c r="V217" s="41"/>
      <c r="W217" s="41"/>
      <c r="X217" s="41"/>
      <c r="Y217" s="41"/>
      <c r="Z217" s="41"/>
    </row>
    <row r="218">
      <c r="A218" s="41"/>
      <c r="B218" s="41"/>
      <c r="C218" s="53"/>
      <c r="D218" s="53"/>
      <c r="E218" s="53"/>
      <c r="F218" s="53"/>
      <c r="G218" s="53"/>
      <c r="H218" s="53"/>
      <c r="I218" s="53"/>
      <c r="J218" s="53"/>
      <c r="K218" s="41"/>
      <c r="L218" s="41"/>
      <c r="M218" s="41"/>
      <c r="N218" s="41"/>
      <c r="O218" s="41"/>
      <c r="P218" s="41"/>
      <c r="Q218" s="41"/>
      <c r="R218" s="41"/>
      <c r="S218" s="41"/>
      <c r="T218" s="41"/>
      <c r="U218" s="41"/>
      <c r="V218" s="41"/>
      <c r="W218" s="41"/>
      <c r="X218" s="41"/>
      <c r="Y218" s="41"/>
      <c r="Z218" s="41"/>
    </row>
    <row r="219">
      <c r="A219" s="41"/>
      <c r="B219" s="41"/>
      <c r="C219" s="53"/>
      <c r="D219" s="53"/>
      <c r="E219" s="53"/>
      <c r="F219" s="53"/>
      <c r="G219" s="53"/>
      <c r="H219" s="53"/>
      <c r="I219" s="53"/>
      <c r="J219" s="53"/>
      <c r="K219" s="41"/>
      <c r="L219" s="41"/>
      <c r="M219" s="41"/>
      <c r="N219" s="41"/>
      <c r="O219" s="41"/>
      <c r="P219" s="41"/>
      <c r="Q219" s="41"/>
      <c r="R219" s="41"/>
      <c r="S219" s="41"/>
      <c r="T219" s="41"/>
      <c r="U219" s="41"/>
      <c r="V219" s="41"/>
      <c r="W219" s="41"/>
      <c r="X219" s="41"/>
      <c r="Y219" s="41"/>
      <c r="Z219" s="41"/>
    </row>
    <row r="220">
      <c r="A220" s="41"/>
      <c r="B220" s="41"/>
      <c r="C220" s="53"/>
      <c r="D220" s="53"/>
      <c r="E220" s="53"/>
      <c r="F220" s="53"/>
      <c r="G220" s="53"/>
      <c r="H220" s="53"/>
      <c r="I220" s="53"/>
      <c r="J220" s="53"/>
      <c r="K220" s="41"/>
      <c r="L220" s="41"/>
      <c r="M220" s="41"/>
      <c r="N220" s="41"/>
      <c r="O220" s="41"/>
      <c r="P220" s="41"/>
      <c r="Q220" s="41"/>
      <c r="R220" s="41"/>
      <c r="S220" s="41"/>
      <c r="T220" s="41"/>
      <c r="U220" s="41"/>
      <c r="V220" s="41"/>
      <c r="W220" s="41"/>
      <c r="X220" s="41"/>
      <c r="Y220" s="41"/>
      <c r="Z220" s="41"/>
    </row>
    <row r="221">
      <c r="A221" s="41"/>
      <c r="B221" s="41"/>
      <c r="C221" s="53"/>
      <c r="D221" s="53"/>
      <c r="E221" s="53"/>
      <c r="F221" s="53"/>
      <c r="G221" s="53"/>
      <c r="H221" s="53"/>
      <c r="I221" s="53"/>
      <c r="J221" s="53"/>
      <c r="K221" s="41"/>
      <c r="L221" s="41"/>
      <c r="M221" s="41"/>
      <c r="N221" s="41"/>
      <c r="O221" s="41"/>
      <c r="P221" s="41"/>
      <c r="Q221" s="41"/>
      <c r="R221" s="41"/>
      <c r="S221" s="41"/>
      <c r="T221" s="41"/>
      <c r="U221" s="41"/>
      <c r="V221" s="41"/>
      <c r="W221" s="41"/>
      <c r="X221" s="41"/>
      <c r="Y221" s="41"/>
      <c r="Z221" s="41"/>
    </row>
    <row r="222">
      <c r="A222" s="41"/>
      <c r="B222" s="41"/>
      <c r="C222" s="53"/>
      <c r="D222" s="53"/>
      <c r="E222" s="53"/>
      <c r="F222" s="53"/>
      <c r="G222" s="53"/>
      <c r="H222" s="53"/>
      <c r="I222" s="53"/>
      <c r="J222" s="53"/>
      <c r="K222" s="41"/>
      <c r="L222" s="41"/>
      <c r="M222" s="41"/>
      <c r="N222" s="41"/>
      <c r="O222" s="41"/>
      <c r="P222" s="41"/>
      <c r="Q222" s="41"/>
      <c r="R222" s="41"/>
      <c r="S222" s="41"/>
      <c r="T222" s="41"/>
      <c r="U222" s="41"/>
      <c r="V222" s="41"/>
      <c r="W222" s="41"/>
      <c r="X222" s="41"/>
      <c r="Y222" s="41"/>
      <c r="Z222" s="41"/>
    </row>
  </sheetData>
  <mergeCells>
    <mergeCell ref="A20:X20"/>
    <mergeCell ref="K33:K35"/>
  </mergeCells>
  <pageMargins bottom="0.75" footer="0.3" header="0.3" left="0.7" right="0.7" top="0.75"/>
  <drawing r:id="rId1"/>
  <legacyDrawing r:id="rId3"/>
</worksheet>
</file>

<file path=xl/worksheets/sheet4.xml><?xml version="1.0" encoding="utf-8"?>
<worksheet xmlns="http://schemas.openxmlformats.org/spreadsheetml/2006/main">
  <dimension ref="A1"/>
  <sheetViews>
    <sheetView workbookViewId="0"/>
  </sheetViews>
  <sheetFormatPr defaultRowHeight="16.0" baseColWidth="10"/>
  <cols>
    <col min="1" max="1" width="7.5" customWidth="true"/>
    <col min="2" max="2" width="7.833333333333333" customWidth="true"/>
    <col min="3" max="3" width="8.166666666666666" customWidth="true"/>
    <col min="4" max="4" width="5.5" customWidth="true"/>
    <col min="5" max="5" width="6.0" customWidth="true"/>
    <col min="6" max="6" width="5.5" customWidth="true"/>
    <col min="7" max="7" width="5.5" customWidth="true"/>
    <col min="8" max="8" width="4.333333333333333" customWidth="true"/>
    <col min="9" max="9" width="5.5" customWidth="true"/>
    <col min="10" max="10" width="5.5" customWidth="true"/>
    <col min="11" max="11" width="5.833333333333333" customWidth="true"/>
    <col min="12" max="12" width="5.5" customWidth="true"/>
    <col min="13" max="13" width="5.5" customWidth="true"/>
    <col min="14" max="14" width="5.5" customWidth="true"/>
    <col min="15" max="15" width="5.5" customWidth="true"/>
    <col min="16" max="16" width="5.5" customWidth="true"/>
    <col min="17" max="17" width="5.333333333333333" customWidth="true"/>
    <col min="18" max="18" width="5.5" customWidth="true"/>
    <col min="19" max="19" width="5.5" customWidth="true"/>
    <col min="20" max="20" width="4.0" customWidth="true"/>
    <col min="21" max="21" width="5.5" customWidth="true"/>
    <col min="22" max="22" width="5.5" customWidth="true"/>
    <col min="23" max="23" width="4.333333333333333" customWidth="true"/>
    <col min="24" max="24" width="5.5" customWidth="true"/>
    <col min="25" max="25" width="5.5" customWidth="true"/>
    <col min="26" max="26" width="4.333333333333333" customWidth="true"/>
    <col min="27" max="27" width="4.833333333333333" customWidth="true"/>
    <col min="28" max="28" width="6.0" customWidth="true"/>
    <col min="29" max="29" width="4.333333333333333" customWidth="true"/>
    <col min="30" max="30" width="4.333333333333333" customWidth="true"/>
    <col min="31" max="31" width="4.333333333333333" customWidth="true"/>
    <col min="32" max="32" width="4.333333333333333" customWidth="true"/>
    <col min="33" max="33" width="6.166666666666667" customWidth="true"/>
    <col min="34" max="34" width="5.0" customWidth="true"/>
    <col min="35" max="35" width="4.333333333333333" customWidth="true"/>
    <col min="36" max="36" width="4.333333333333333" customWidth="true"/>
    <col min="37" max="37" width="4.333333333333333" customWidth="true"/>
    <col min="38" max="38" width="4.333333333333333" customWidth="true"/>
    <col min="39" max="39" width="6.5" customWidth="true"/>
    <col min="40" max="40" width="6.5" customWidth="true"/>
    <col min="41" max="41" width="3.6666666666666665" customWidth="true"/>
    <col min="42" max="42" width="6.5" customWidth="true"/>
    <col min="43" max="43" width="6.5" customWidth="true"/>
    <col min="44" max="44" width="3.8333333333333335" customWidth="true"/>
    <col min="45" max="45" width="6.5" customWidth="true"/>
    <col min="46" max="46" width="6.5" customWidth="true"/>
    <col min="47" max="47" width="4.333333333333333" customWidth="true"/>
    <col min="48" max="48" width="6.5" customWidth="true"/>
    <col min="49" max="49" width="6.5" customWidth="true"/>
    <col min="50" max="50" width="4.0" customWidth="true"/>
  </cols>
  <sheetData>
    <row r="1">
      <c r="A1" s="1" t="s">
        <v>0</v>
      </c>
      <c r="B1" s="5" t="s">
        <v>102</v>
      </c>
      <c r="C1" s="40" t="s">
        <v>2</v>
      </c>
      <c r="D1" s="40"/>
      <c r="E1" s="40"/>
      <c r="F1" s="40" t="s">
        <v>3</v>
      </c>
      <c r="G1" s="40"/>
      <c r="H1" s="40"/>
      <c r="I1" s="40" t="s">
        <v>4</v>
      </c>
      <c r="J1" s="40"/>
      <c r="K1" s="40"/>
      <c r="L1" s="40" t="s">
        <v>35</v>
      </c>
      <c r="M1" s="40"/>
      <c r="N1" s="40"/>
      <c r="O1" s="39"/>
      <c r="P1" s="39"/>
      <c r="Q1" s="39"/>
      <c r="R1" s="39"/>
      <c r="S1" s="39"/>
      <c r="T1" s="39"/>
      <c r="U1" s="40"/>
      <c r="V1" s="40"/>
      <c r="W1" s="40"/>
      <c r="X1" s="40"/>
      <c r="Y1" s="40"/>
      <c r="Z1" s="40"/>
      <c r="AA1" s="5"/>
      <c r="AB1" s="5"/>
      <c r="AC1" s="5"/>
      <c r="AD1" s="5"/>
      <c r="AE1" s="5"/>
      <c r="AF1" s="5"/>
      <c r="AG1" s="5"/>
      <c r="AH1" s="5"/>
      <c r="AI1" s="5"/>
      <c r="AJ1" s="5"/>
      <c r="AK1" s="5"/>
      <c r="AL1" s="5"/>
      <c r="AM1" s="40"/>
      <c r="AN1" s="40"/>
      <c r="AO1" s="40"/>
      <c r="AP1" s="40"/>
      <c r="AQ1" s="40"/>
      <c r="AR1" s="40"/>
      <c r="AS1" s="40"/>
      <c r="AT1" s="40"/>
      <c r="AU1" s="40"/>
      <c r="AV1" s="40"/>
      <c r="AW1" s="40"/>
      <c r="AX1" s="40"/>
    </row>
    <row r="2" customHeight="1" ht="39.0">
      <c r="A2" s="1"/>
      <c r="B2" s="5" t="s">
        <v>406</v>
      </c>
      <c r="C2" s="40" t="s">
        <v>407</v>
      </c>
      <c r="D2" s="40" t="s">
        <v>408</v>
      </c>
      <c r="E2" s="5" t="s">
        <v>409</v>
      </c>
      <c r="F2" s="40" t="s">
        <v>407</v>
      </c>
      <c r="G2" s="40" t="s">
        <v>408</v>
      </c>
      <c r="H2" s="5" t="s">
        <v>409</v>
      </c>
      <c r="I2" s="40" t="s">
        <v>407</v>
      </c>
      <c r="J2" s="40" t="s">
        <v>408</v>
      </c>
      <c r="K2" s="5" t="s">
        <v>409</v>
      </c>
      <c r="L2" s="40" t="s">
        <v>407</v>
      </c>
      <c r="M2" s="40" t="s">
        <v>408</v>
      </c>
      <c r="N2" s="5" t="s">
        <v>409</v>
      </c>
      <c r="O2" s="40" t="s">
        <v>407</v>
      </c>
      <c r="P2" s="40" t="s">
        <v>408</v>
      </c>
      <c r="Q2" s="5" t="s">
        <v>409</v>
      </c>
      <c r="R2" s="40" t="s">
        <v>407</v>
      </c>
      <c r="S2" s="40" t="s">
        <v>408</v>
      </c>
      <c r="T2" s="5" t="s">
        <v>409</v>
      </c>
      <c r="U2" s="40" t="s">
        <v>407</v>
      </c>
      <c r="V2" s="40" t="s">
        <v>408</v>
      </c>
      <c r="W2" s="5" t="s">
        <v>409</v>
      </c>
      <c r="X2" s="40" t="s">
        <v>407</v>
      </c>
      <c r="Y2" s="40" t="s">
        <v>408</v>
      </c>
      <c r="Z2" s="5" t="s">
        <v>409</v>
      </c>
      <c r="AA2" s="40" t="s">
        <v>407</v>
      </c>
      <c r="AB2" s="40" t="s">
        <v>408</v>
      </c>
      <c r="AC2" s="5" t="s">
        <v>409</v>
      </c>
      <c r="AD2" s="40" t="s">
        <v>407</v>
      </c>
      <c r="AE2" s="40" t="s">
        <v>408</v>
      </c>
      <c r="AF2" s="5" t="s">
        <v>409</v>
      </c>
      <c r="AG2" s="5" t="s">
        <v>407</v>
      </c>
      <c r="AH2" s="5" t="s">
        <v>408</v>
      </c>
      <c r="AI2" s="5" t="s">
        <v>409</v>
      </c>
      <c r="AJ2" s="5" t="s">
        <v>407</v>
      </c>
      <c r="AK2" s="5" t="s">
        <v>408</v>
      </c>
      <c r="AL2" s="5" t="s">
        <v>409</v>
      </c>
      <c r="AM2" s="40" t="s">
        <v>407</v>
      </c>
      <c r="AN2" s="40" t="s">
        <v>408</v>
      </c>
      <c r="AO2" s="5" t="s">
        <v>409</v>
      </c>
      <c r="AP2" s="40" t="s">
        <v>407</v>
      </c>
      <c r="AQ2" s="40" t="s">
        <v>408</v>
      </c>
      <c r="AR2" s="5" t="s">
        <v>409</v>
      </c>
      <c r="AS2" s="5" t="s">
        <v>407</v>
      </c>
      <c r="AT2" s="5" t="s">
        <v>408</v>
      </c>
      <c r="AU2" s="5" t="s">
        <v>409</v>
      </c>
      <c r="AV2" s="5" t="s">
        <v>407</v>
      </c>
      <c r="AW2" s="5" t="s">
        <v>408</v>
      </c>
      <c r="AX2" s="5" t="s">
        <v>409</v>
      </c>
    </row>
    <row r="3" customHeight="1" ht="39.0">
      <c r="A3" s="1"/>
      <c r="B3" s="19" t="s">
        <v>410</v>
      </c>
      <c r="C3" s="80" t="n">
        <v>0.3333333333333333</v>
      </c>
      <c r="D3" s="80" t="n">
        <v>0.4583333333333333</v>
      </c>
      <c r="E3" s="5" t="s">
        <v>411</v>
      </c>
      <c r="F3" s="81" t="n">
        <v>0.3541666666666667</v>
      </c>
      <c r="G3" s="82" t="n">
        <v>0.0</v>
      </c>
      <c r="H3" s="5"/>
      <c r="I3" s="83" t="s">
        <v>412</v>
      </c>
      <c r="J3" s="83" t="s">
        <v>413</v>
      </c>
      <c r="K3" s="5"/>
      <c r="L3" s="1" t="s">
        <v>414</v>
      </c>
      <c r="M3" s="84" t="s">
        <v>415</v>
      </c>
      <c r="N3" s="5" t="s">
        <v>416</v>
      </c>
      <c r="O3" s="85"/>
      <c r="P3" s="85"/>
      <c r="Q3" s="1"/>
      <c r="R3" s="85"/>
      <c r="S3" s="85"/>
      <c r="T3" s="1"/>
      <c r="U3" s="1"/>
      <c r="V3" s="84"/>
      <c r="W3" s="5"/>
      <c r="X3" s="1"/>
      <c r="Y3" s="1"/>
      <c r="Z3" s="1"/>
      <c r="AA3" s="5"/>
      <c r="AB3" s="5"/>
      <c r="AC3" s="5"/>
      <c r="AD3" s="84"/>
      <c r="AE3" s="84"/>
      <c r="AF3" s="5"/>
      <c r="AG3" s="85"/>
      <c r="AH3" s="85"/>
      <c r="AI3" s="1"/>
      <c r="AJ3" s="1"/>
      <c r="AK3" s="1"/>
      <c r="AL3" s="1"/>
      <c r="AM3" s="1"/>
      <c r="AN3" s="84"/>
      <c r="AO3" s="5"/>
      <c r="AP3" s="5"/>
      <c r="AQ3" s="5"/>
      <c r="AR3" s="5"/>
      <c r="AS3" s="5"/>
      <c r="AT3" s="5"/>
      <c r="AU3" s="5"/>
      <c r="AV3" s="5"/>
      <c r="AW3" s="5"/>
      <c r="AX3" s="5"/>
    </row>
    <row r="4">
      <c r="A4" s="3" t="n">
        <v>44067.0</v>
      </c>
      <c r="B4" s="1" t="s">
        <v>5</v>
      </c>
      <c r="C4" s="81" t="n">
        <v>0.3541666666666667</v>
      </c>
      <c r="D4" s="81" t="n">
        <v>0.4791666666666667</v>
      </c>
      <c r="E4" s="1" t="s">
        <v>417</v>
      </c>
      <c r="F4" s="81" t="n">
        <v>0.3472222222222222</v>
      </c>
      <c r="G4" s="86" t="n">
        <v>0.001388888888888889</v>
      </c>
      <c r="H4" s="1"/>
      <c r="I4" s="1" t="s">
        <v>418</v>
      </c>
      <c r="J4" s="1" t="s">
        <v>419</v>
      </c>
      <c r="K4" s="1"/>
      <c r="L4" s="87"/>
      <c r="M4" s="84"/>
      <c r="N4" s="5"/>
      <c r="O4" s="1"/>
      <c r="P4" s="1"/>
      <c r="Q4" s="1"/>
      <c r="R4" s="1"/>
      <c r="S4" s="1"/>
      <c r="T4" s="1"/>
      <c r="U4" s="1"/>
      <c r="V4" s="1"/>
      <c r="W4" s="1"/>
      <c r="X4" s="1"/>
      <c r="Y4" s="1"/>
      <c r="Z4" s="1"/>
      <c r="AA4" s="1"/>
      <c r="AB4" s="1"/>
      <c r="AC4" s="1"/>
      <c r="AD4" s="1"/>
      <c r="AE4" s="1"/>
      <c r="AF4" s="1"/>
      <c r="AG4" s="1"/>
      <c r="AH4" s="1"/>
      <c r="AI4" s="1"/>
      <c r="AJ4" s="1"/>
      <c r="AK4" s="1"/>
      <c r="AL4" s="1"/>
      <c r="AM4" s="1"/>
      <c r="AN4" s="2"/>
      <c r="AO4" s="2"/>
      <c r="AP4" s="2"/>
      <c r="AQ4" s="2"/>
      <c r="AR4" s="2"/>
      <c r="AS4" s="2"/>
      <c r="AT4" s="2"/>
      <c r="AU4" s="2"/>
      <c r="AV4" s="2"/>
      <c r="AW4" s="2"/>
      <c r="AX4" s="2"/>
    </row>
    <row r="5">
      <c r="A5" s="3" t="n">
        <v>44068.0</v>
      </c>
      <c r="B5" s="1" t="s">
        <v>7</v>
      </c>
      <c r="C5" s="81" t="n">
        <v>0.3541666666666667</v>
      </c>
      <c r="D5" s="81" t="n">
        <v>0.4791666666666667</v>
      </c>
      <c r="E5" s="1" t="s">
        <v>420</v>
      </c>
      <c r="F5" s="81" t="n">
        <v>0.35208333333333336</v>
      </c>
      <c r="G5" s="81" t="n">
        <v>0.4840277777777778</v>
      </c>
      <c r="H5" s="1"/>
      <c r="I5" s="1" t="s">
        <v>421</v>
      </c>
      <c r="J5" s="1" t="s">
        <v>422</v>
      </c>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2"/>
      <c r="AO5" s="2"/>
      <c r="AP5" s="2"/>
      <c r="AQ5" s="2"/>
      <c r="AR5" s="2"/>
      <c r="AS5" s="2"/>
      <c r="AT5" s="2"/>
      <c r="AU5" s="2"/>
      <c r="AV5" s="2"/>
      <c r="AW5" s="2"/>
      <c r="AX5" s="2"/>
    </row>
    <row r="6">
      <c r="A6" s="3" t="n">
        <v>44069.0</v>
      </c>
      <c r="B6" s="1" t="s">
        <v>9</v>
      </c>
      <c r="C6" s="81" t="n">
        <v>0.2708333333333333</v>
      </c>
      <c r="D6" s="1"/>
      <c r="E6" s="1" t="s">
        <v>417</v>
      </c>
      <c r="F6" s="81" t="n">
        <v>0.3423611111111111</v>
      </c>
      <c r="G6" s="86" t="n">
        <v>0.017361111111111112</v>
      </c>
      <c r="H6" s="1"/>
      <c r="I6" s="1" t="s">
        <v>423</v>
      </c>
      <c r="J6" s="1" t="s">
        <v>424</v>
      </c>
      <c r="K6" s="1"/>
      <c r="L6" s="81" t="n">
        <v>0.3125</v>
      </c>
      <c r="M6" s="81" t="n">
        <v>0.9736111111111111</v>
      </c>
      <c r="N6" s="1" t="s">
        <v>425</v>
      </c>
      <c r="O6" s="1"/>
      <c r="P6" s="1"/>
      <c r="Q6" s="1"/>
      <c r="R6" s="1"/>
      <c r="S6" s="1"/>
      <c r="T6" s="1"/>
      <c r="U6" s="1"/>
      <c r="V6" s="1"/>
      <c r="W6" s="1"/>
      <c r="X6" s="1"/>
      <c r="Y6" s="1"/>
      <c r="Z6" s="1"/>
      <c r="AA6" s="1"/>
      <c r="AB6" s="1"/>
      <c r="AC6" s="1"/>
      <c r="AD6" s="1"/>
      <c r="AE6" s="1"/>
      <c r="AF6" s="1"/>
      <c r="AG6" s="1"/>
      <c r="AH6" s="1"/>
      <c r="AI6" s="1"/>
      <c r="AJ6" s="1"/>
      <c r="AK6" s="1"/>
      <c r="AL6" s="1"/>
      <c r="AM6" s="1"/>
      <c r="AN6" s="2"/>
      <c r="AO6" s="2"/>
      <c r="AP6" s="2"/>
      <c r="AQ6" s="2"/>
      <c r="AR6" s="2"/>
      <c r="AS6" s="2"/>
      <c r="AT6" s="2"/>
      <c r="AU6" s="2"/>
      <c r="AV6" s="2"/>
      <c r="AW6" s="2"/>
      <c r="AX6" s="2"/>
    </row>
    <row r="7">
      <c r="A7" s="3" t="n">
        <v>44070.0</v>
      </c>
      <c r="B7" s="1" t="s">
        <v>12</v>
      </c>
      <c r="C7" s="1"/>
      <c r="D7" s="1"/>
      <c r="E7" s="1"/>
      <c r="F7" s="81" t="n">
        <v>0.3333333333333333</v>
      </c>
      <c r="G7" s="81" t="n">
        <v>0.48333333333333334</v>
      </c>
      <c r="H7" s="1"/>
      <c r="I7" s="1" t="s">
        <v>423</v>
      </c>
      <c r="J7" s="1" t="s">
        <v>426</v>
      </c>
      <c r="K7" s="1"/>
      <c r="L7" s="81" t="n">
        <v>0.3125</v>
      </c>
      <c r="M7" s="88" t="n">
        <v>0.9902777777777778</v>
      </c>
      <c r="N7" s="1" t="s">
        <v>425</v>
      </c>
      <c r="O7" s="1"/>
      <c r="P7" s="1"/>
      <c r="Q7" s="1"/>
      <c r="R7" s="1"/>
      <c r="S7" s="1"/>
      <c r="T7" s="1"/>
      <c r="U7" s="1"/>
      <c r="V7" s="1"/>
      <c r="W7" s="1"/>
      <c r="X7" s="1"/>
      <c r="Y7" s="1"/>
      <c r="Z7" s="1"/>
      <c r="AA7" s="1"/>
      <c r="AB7" s="1"/>
      <c r="AC7" s="1"/>
      <c r="AD7" s="1"/>
      <c r="AE7" s="1"/>
      <c r="AF7" s="1"/>
      <c r="AG7" s="1"/>
      <c r="AH7" s="1"/>
      <c r="AI7" s="1"/>
      <c r="AJ7" s="1"/>
      <c r="AK7" s="1"/>
      <c r="AL7" s="1"/>
      <c r="AM7" s="1"/>
      <c r="AN7" s="2"/>
      <c r="AO7" s="2"/>
      <c r="AP7" s="2"/>
      <c r="AQ7" s="2"/>
      <c r="AR7" s="2"/>
      <c r="AS7" s="2"/>
      <c r="AT7" s="2"/>
      <c r="AU7" s="2"/>
      <c r="AV7" s="2"/>
      <c r="AW7" s="2"/>
      <c r="AX7" s="2"/>
    </row>
    <row r="8">
      <c r="A8" s="3" t="n">
        <v>44071.0</v>
      </c>
      <c r="B8" s="1" t="s">
        <v>15</v>
      </c>
      <c r="C8" s="1"/>
      <c r="D8" s="1"/>
      <c r="E8" s="1"/>
      <c r="F8" s="81" t="n">
        <v>0.3333333333333333</v>
      </c>
      <c r="G8" s="81" t="n">
        <v>0.49722222222222223</v>
      </c>
      <c r="H8" s="1"/>
      <c r="I8" s="1" t="s">
        <v>421</v>
      </c>
      <c r="J8" s="1" t="s">
        <v>427</v>
      </c>
      <c r="K8" s="1"/>
      <c r="L8" s="88" t="n">
        <v>0.3388888888888889</v>
      </c>
      <c r="M8" s="88" t="n">
        <v>0.9791666666666666</v>
      </c>
      <c r="N8" s="1" t="s">
        <v>425</v>
      </c>
      <c r="O8" s="1"/>
      <c r="P8" s="1"/>
      <c r="Q8" s="1"/>
      <c r="R8" s="1"/>
      <c r="S8" s="1"/>
      <c r="T8" s="1"/>
      <c r="U8" s="1"/>
      <c r="V8" s="1"/>
      <c r="W8" s="1"/>
      <c r="X8" s="1"/>
      <c r="Y8" s="1"/>
      <c r="Z8" s="1"/>
      <c r="AA8" s="1"/>
      <c r="AB8" s="1"/>
      <c r="AC8" s="1"/>
      <c r="AD8" s="1"/>
      <c r="AE8" s="1"/>
      <c r="AF8" s="1"/>
      <c r="AG8" s="1"/>
      <c r="AH8" s="1"/>
      <c r="AI8" s="1"/>
      <c r="AJ8" s="1"/>
      <c r="AK8" s="1"/>
      <c r="AL8" s="1"/>
      <c r="AM8" s="1"/>
      <c r="AN8" s="2"/>
      <c r="AO8" s="2"/>
      <c r="AP8" s="2"/>
      <c r="AQ8" s="2"/>
      <c r="AR8" s="2"/>
      <c r="AS8" s="2"/>
      <c r="AT8" s="2"/>
      <c r="AU8" s="2"/>
      <c r="AV8" s="2"/>
      <c r="AW8" s="2"/>
      <c r="AX8" s="2"/>
    </row>
    <row r="9">
      <c r="A9" s="3" t="n">
        <v>44072.0</v>
      </c>
      <c r="B9" s="1" t="s">
        <v>16</v>
      </c>
      <c r="C9" s="1"/>
      <c r="D9" s="1"/>
      <c r="E9" s="1"/>
      <c r="F9" s="81" t="n">
        <v>0.3333333333333333</v>
      </c>
      <c r="G9" s="81" t="n">
        <v>0.4826388888888889</v>
      </c>
      <c r="H9" s="1"/>
      <c r="I9" s="1" t="s">
        <v>428</v>
      </c>
      <c r="J9" s="1" t="s">
        <v>429</v>
      </c>
      <c r="K9" s="1"/>
      <c r="L9" s="81" t="n">
        <v>0.3125</v>
      </c>
      <c r="M9" s="81" t="n">
        <v>0.9736111111111111</v>
      </c>
      <c r="N9" s="1" t="s">
        <v>420</v>
      </c>
      <c r="O9" s="1"/>
      <c r="P9" s="1"/>
      <c r="Q9" s="1"/>
      <c r="R9" s="1"/>
      <c r="S9" s="1"/>
      <c r="T9" s="1"/>
      <c r="U9" s="1"/>
      <c r="V9" s="1"/>
      <c r="W9" s="1"/>
      <c r="X9" s="1"/>
      <c r="Y9" s="1"/>
      <c r="Z9" s="1"/>
      <c r="AA9" s="1"/>
      <c r="AB9" s="1"/>
      <c r="AC9" s="1"/>
      <c r="AD9" s="1"/>
      <c r="AE9" s="1"/>
      <c r="AF9" s="1"/>
      <c r="AG9" s="1"/>
      <c r="AH9" s="1"/>
      <c r="AI9" s="1"/>
      <c r="AJ9" s="1"/>
      <c r="AK9" s="1"/>
      <c r="AL9" s="1"/>
      <c r="AM9" s="1"/>
      <c r="AN9" s="2"/>
      <c r="AO9" s="2"/>
      <c r="AP9" s="2"/>
      <c r="AQ9" s="2"/>
      <c r="AR9" s="2"/>
      <c r="AS9" s="2"/>
      <c r="AT9" s="2"/>
      <c r="AU9" s="2"/>
      <c r="AV9" s="2"/>
      <c r="AW9" s="2"/>
      <c r="AX9" s="2"/>
    </row>
    <row r="10">
      <c r="A10" s="3" t="n">
        <v>44073.0</v>
      </c>
      <c r="B10" s="1" t="s">
        <v>19</v>
      </c>
      <c r="C10" s="1"/>
      <c r="D10" s="1"/>
      <c r="E10" s="1"/>
      <c r="F10" s="81" t="n">
        <v>0.3333333333333333</v>
      </c>
      <c r="G10" s="86" t="n">
        <v>0.04513888888888889</v>
      </c>
      <c r="H10" s="1"/>
      <c r="I10" s="1" t="s">
        <v>421</v>
      </c>
      <c r="J10" s="1" t="s">
        <v>430</v>
      </c>
      <c r="K10" s="1"/>
      <c r="L10" s="88" t="n">
        <v>0.3402777777777778</v>
      </c>
      <c r="M10" s="1" t="s">
        <v>431</v>
      </c>
      <c r="N10" s="1" t="s">
        <v>420</v>
      </c>
      <c r="O10" s="1"/>
      <c r="P10" s="1"/>
      <c r="Q10" s="1"/>
      <c r="R10" s="1"/>
      <c r="S10" s="1"/>
      <c r="T10" s="1"/>
      <c r="U10" s="1"/>
      <c r="V10" s="1"/>
      <c r="W10" s="1"/>
      <c r="X10" s="1"/>
      <c r="Y10" s="1"/>
      <c r="Z10" s="1"/>
      <c r="AA10" s="1"/>
      <c r="AB10" s="1"/>
      <c r="AC10" s="1"/>
      <c r="AD10" s="1"/>
      <c r="AE10" s="1"/>
      <c r="AF10" s="1"/>
      <c r="AG10" s="1"/>
      <c r="AH10" s="1"/>
      <c r="AI10" s="1"/>
      <c r="AJ10" s="1"/>
      <c r="AK10" s="1"/>
      <c r="AL10" s="1"/>
      <c r="AM10" s="1"/>
      <c r="AN10" s="2"/>
      <c r="AO10" s="2"/>
      <c r="AP10" s="2"/>
      <c r="AQ10" s="2"/>
      <c r="AR10" s="2"/>
      <c r="AS10" s="2"/>
      <c r="AT10" s="2"/>
      <c r="AU10" s="2"/>
      <c r="AV10" s="2"/>
      <c r="AW10" s="2"/>
      <c r="AX10" s="2"/>
    </row>
    <row r="11">
      <c r="A11" s="2"/>
      <c r="B11" s="2"/>
      <c r="C11" s="1"/>
      <c r="D11" s="83"/>
      <c r="E11" s="40"/>
      <c r="F11" s="40"/>
      <c r="G11" s="40"/>
      <c r="H11" s="40"/>
      <c r="I11" s="83"/>
      <c r="J11" s="84"/>
      <c r="K11" s="40"/>
      <c r="L11" s="1"/>
      <c r="M11" s="84"/>
      <c r="N11" s="5"/>
      <c r="O11" s="39"/>
      <c r="P11" s="39"/>
      <c r="Q11" s="39"/>
      <c r="R11" s="84"/>
      <c r="S11" s="84"/>
      <c r="T11" s="39"/>
      <c r="U11" s="40"/>
      <c r="V11" s="40"/>
      <c r="W11" s="40"/>
      <c r="X11" s="5"/>
      <c r="Y11" s="5"/>
      <c r="Z11" s="5"/>
      <c r="AA11" s="5"/>
      <c r="AB11" s="5"/>
      <c r="AC11" s="5"/>
      <c r="AD11" s="5"/>
      <c r="AE11" s="84"/>
      <c r="AF11" s="5"/>
      <c r="AG11" s="5"/>
      <c r="AH11" s="5"/>
      <c r="AI11" s="5"/>
      <c r="AJ11" s="5"/>
      <c r="AK11" s="5"/>
      <c r="AL11" s="5"/>
      <c r="AM11" s="84"/>
      <c r="AN11" s="2"/>
      <c r="AP11" s="2"/>
      <c r="AQ11" s="2"/>
      <c r="AS11" s="2"/>
      <c r="AT11" s="2"/>
    </row>
    <row r="12">
      <c r="A12" s="6" t="s">
        <v>21</v>
      </c>
      <c r="B12" s="89" t="s">
        <v>222</v>
      </c>
      <c r="C12" s="90" t="s">
        <v>134</v>
      </c>
      <c r="D12" s="83"/>
      <c r="E12" s="40"/>
      <c r="F12" s="40"/>
      <c r="G12" s="40"/>
      <c r="H12" s="40"/>
      <c r="I12" s="84"/>
      <c r="J12" s="84"/>
      <c r="K12" s="40"/>
      <c r="L12" s="87"/>
      <c r="M12" s="84"/>
      <c r="N12" s="5"/>
      <c r="O12" s="39"/>
      <c r="P12" s="39"/>
      <c r="Q12" s="39"/>
      <c r="R12" s="84"/>
      <c r="S12" s="84"/>
      <c r="T12" s="39"/>
      <c r="U12" s="40"/>
      <c r="V12" s="40"/>
      <c r="W12" s="40"/>
      <c r="X12" s="5"/>
      <c r="Y12" s="5"/>
      <c r="Z12" s="5"/>
      <c r="AA12" s="5"/>
      <c r="AB12" s="5"/>
      <c r="AC12" s="5"/>
      <c r="AD12" s="5"/>
      <c r="AE12" s="5"/>
      <c r="AF12" s="5"/>
      <c r="AG12" s="5"/>
      <c r="AH12" s="5"/>
      <c r="AI12" s="5"/>
      <c r="AJ12" s="5"/>
      <c r="AK12" s="5"/>
      <c r="AL12" s="5"/>
      <c r="AM12" s="5"/>
      <c r="AN12" s="2"/>
      <c r="AP12" s="2"/>
      <c r="AQ12" s="2"/>
      <c r="AS12" s="2"/>
      <c r="AT12" s="2"/>
    </row>
    <row r="13" customHeight="1" ht="65.0">
      <c r="A13" s="9" t="s">
        <v>432</v>
      </c>
      <c r="B13" s="10" t="s">
        <v>433</v>
      </c>
      <c r="C13" s="11" t="s">
        <v>26</v>
      </c>
      <c r="D13" s="83"/>
      <c r="E13" s="40"/>
      <c r="F13" s="40"/>
      <c r="G13" s="40"/>
      <c r="H13" s="40"/>
      <c r="I13" s="84"/>
      <c r="J13" s="84"/>
      <c r="K13" s="40"/>
      <c r="L13" s="87"/>
      <c r="M13" s="84"/>
      <c r="N13" s="5"/>
      <c r="O13" s="39"/>
      <c r="P13" s="39"/>
      <c r="Q13" s="5"/>
      <c r="R13" s="84"/>
      <c r="S13" s="84"/>
      <c r="T13" s="39"/>
      <c r="U13" s="40"/>
      <c r="V13" s="40"/>
      <c r="W13" s="40"/>
      <c r="X13" s="5"/>
      <c r="Y13" s="5"/>
      <c r="Z13" s="5"/>
      <c r="AA13" s="5"/>
      <c r="AB13" s="5"/>
      <c r="AC13" s="5"/>
      <c r="AD13" s="5"/>
      <c r="AE13" s="5"/>
      <c r="AF13" s="5"/>
      <c r="AG13" s="5"/>
      <c r="AH13" s="5"/>
      <c r="AI13" s="5"/>
      <c r="AJ13" s="5"/>
      <c r="AK13" s="5"/>
      <c r="AL13" s="5"/>
      <c r="AM13" s="5"/>
    </row>
    <row r="14" customHeight="1" ht="26.0">
      <c r="A14" s="4" t="s">
        <v>27</v>
      </c>
      <c r="B14" s="12" t="s">
        <v>28</v>
      </c>
      <c r="C14" s="13" t="s">
        <v>29</v>
      </c>
      <c r="D14" s="83"/>
      <c r="E14" s="40"/>
      <c r="F14" s="40"/>
      <c r="G14" s="40"/>
      <c r="H14" s="40"/>
      <c r="I14" s="84"/>
      <c r="J14" s="84"/>
      <c r="K14" s="40"/>
      <c r="L14" s="87"/>
      <c r="M14" s="84"/>
      <c r="N14" s="5"/>
      <c r="O14" s="39"/>
      <c r="P14" s="39"/>
      <c r="Q14" s="39"/>
      <c r="R14" s="84"/>
      <c r="S14" s="84"/>
      <c r="T14" s="39"/>
      <c r="U14" s="40"/>
      <c r="V14" s="40"/>
      <c r="W14" s="40"/>
      <c r="X14" s="5"/>
      <c r="Y14" s="5"/>
      <c r="Z14" s="5"/>
      <c r="AA14" s="5"/>
      <c r="AB14" s="5"/>
      <c r="AC14" s="5"/>
      <c r="AD14" s="5"/>
      <c r="AE14" s="5"/>
      <c r="AF14" s="5"/>
      <c r="AG14" s="5"/>
      <c r="AH14" s="5"/>
      <c r="AI14" s="5"/>
      <c r="AJ14" s="5"/>
      <c r="AK14" s="5"/>
      <c r="AL14" s="5"/>
      <c r="AM14" s="5"/>
    </row>
    <row r="15">
      <c r="A15" s="1" t="s">
        <v>0</v>
      </c>
      <c r="B15" s="5" t="s">
        <v>102</v>
      </c>
      <c r="C15" s="40" t="s">
        <v>2</v>
      </c>
      <c r="D15" s="40"/>
      <c r="E15" s="40"/>
      <c r="F15" s="40" t="s">
        <v>434</v>
      </c>
      <c r="G15" s="40"/>
      <c r="H15" s="40"/>
      <c r="I15" s="40" t="s">
        <v>3</v>
      </c>
      <c r="J15" s="40"/>
      <c r="K15" s="40"/>
      <c r="L15" s="40" t="s">
        <v>35</v>
      </c>
      <c r="M15" s="40"/>
      <c r="N15" s="40"/>
      <c r="O15" s="39" t="s">
        <v>435</v>
      </c>
      <c r="P15" s="39"/>
      <c r="Q15" s="39"/>
      <c r="R15" s="39" t="s">
        <v>230</v>
      </c>
      <c r="S15" s="39"/>
      <c r="T15" s="39"/>
      <c r="U15" s="40" t="s">
        <v>34</v>
      </c>
      <c r="V15" s="40"/>
      <c r="W15" s="40"/>
      <c r="X15" s="40" t="s">
        <v>436</v>
      </c>
      <c r="Y15" s="40"/>
      <c r="Z15" s="40"/>
      <c r="AA15" s="5" t="s">
        <v>36</v>
      </c>
      <c r="AB15" s="5"/>
      <c r="AC15" s="5"/>
      <c r="AD15" s="5" t="s">
        <v>103</v>
      </c>
      <c r="AE15" s="5"/>
      <c r="AF15" s="5"/>
      <c r="AG15" s="5" t="s">
        <v>228</v>
      </c>
      <c r="AH15" s="5"/>
      <c r="AI15" s="5"/>
      <c r="AJ15" s="5" t="s">
        <v>36</v>
      </c>
      <c r="AK15" s="5"/>
      <c r="AL15" s="5"/>
      <c r="AM15" s="5"/>
    </row>
    <row r="16" customHeight="1" ht="39.0">
      <c r="A16" s="1"/>
      <c r="B16" s="5" t="s">
        <v>406</v>
      </c>
      <c r="C16" s="40" t="s">
        <v>407</v>
      </c>
      <c r="D16" s="40" t="s">
        <v>408</v>
      </c>
      <c r="E16" s="5" t="s">
        <v>409</v>
      </c>
      <c r="F16" s="40" t="s">
        <v>407</v>
      </c>
      <c r="G16" s="40" t="s">
        <v>408</v>
      </c>
      <c r="H16" s="5" t="s">
        <v>409</v>
      </c>
      <c r="I16" s="40" t="s">
        <v>407</v>
      </c>
      <c r="J16" s="40" t="s">
        <v>408</v>
      </c>
      <c r="K16" s="5" t="s">
        <v>409</v>
      </c>
      <c r="L16" s="40" t="s">
        <v>407</v>
      </c>
      <c r="M16" s="40" t="s">
        <v>408</v>
      </c>
      <c r="N16" s="5" t="s">
        <v>409</v>
      </c>
      <c r="O16" s="40" t="s">
        <v>407</v>
      </c>
      <c r="P16" s="40" t="s">
        <v>408</v>
      </c>
      <c r="Q16" s="5" t="s">
        <v>409</v>
      </c>
      <c r="R16" s="40" t="s">
        <v>407</v>
      </c>
      <c r="S16" s="40" t="s">
        <v>408</v>
      </c>
      <c r="T16" s="5" t="s">
        <v>409</v>
      </c>
      <c r="U16" s="40" t="s">
        <v>407</v>
      </c>
      <c r="V16" s="40" t="s">
        <v>408</v>
      </c>
      <c r="W16" s="5" t="s">
        <v>409</v>
      </c>
      <c r="X16" s="40" t="s">
        <v>407</v>
      </c>
      <c r="Y16" s="40" t="s">
        <v>408</v>
      </c>
      <c r="Z16" s="5" t="s">
        <v>409</v>
      </c>
      <c r="AA16" s="40" t="s">
        <v>407</v>
      </c>
      <c r="AB16" s="40" t="s">
        <v>408</v>
      </c>
      <c r="AC16" s="5" t="s">
        <v>409</v>
      </c>
      <c r="AD16" s="40" t="s">
        <v>407</v>
      </c>
      <c r="AE16" s="40" t="s">
        <v>408</v>
      </c>
      <c r="AF16" s="5" t="s">
        <v>409</v>
      </c>
      <c r="AG16" s="40" t="s">
        <v>407</v>
      </c>
      <c r="AH16" s="40" t="s">
        <v>408</v>
      </c>
      <c r="AI16" s="5" t="s">
        <v>409</v>
      </c>
      <c r="AJ16" s="40" t="s">
        <v>407</v>
      </c>
      <c r="AK16" s="40" t="s">
        <v>408</v>
      </c>
      <c r="AL16" s="5" t="s">
        <v>409</v>
      </c>
      <c r="AM16" s="5"/>
    </row>
    <row r="17" customHeight="1" ht="52.0">
      <c r="A17" s="1"/>
      <c r="B17" s="19" t="s">
        <v>410</v>
      </c>
      <c r="C17" s="40" t="s">
        <v>437</v>
      </c>
      <c r="D17" s="40" t="s">
        <v>438</v>
      </c>
      <c r="E17" s="5" t="s">
        <v>439</v>
      </c>
      <c r="F17" s="5" t="s">
        <v>437</v>
      </c>
      <c r="G17" s="5" t="s">
        <v>440</v>
      </c>
      <c r="H17" s="5"/>
      <c r="I17" s="40" t="s">
        <v>437</v>
      </c>
      <c r="J17" s="40" t="s">
        <v>441</v>
      </c>
      <c r="K17" s="5"/>
      <c r="L17" s="1" t="s">
        <v>414</v>
      </c>
      <c r="M17" s="84" t="s">
        <v>415</v>
      </c>
      <c r="N17" s="5" t="s">
        <v>442</v>
      </c>
      <c r="O17" s="1" t="s">
        <v>443</v>
      </c>
      <c r="P17" s="1" t="s">
        <v>444</v>
      </c>
      <c r="Q17" s="1" t="s">
        <v>445</v>
      </c>
      <c r="R17" s="1"/>
      <c r="S17" s="1"/>
      <c r="T17" s="1"/>
      <c r="U17" s="82" t="n">
        <v>0.3541666666666667</v>
      </c>
      <c r="V17" s="82" t="n">
        <v>0.0625</v>
      </c>
      <c r="W17" s="5" t="s">
        <v>446</v>
      </c>
      <c r="X17" s="80" t="n">
        <v>0.3333333333333333</v>
      </c>
      <c r="Y17" s="80" t="n">
        <v>0.0</v>
      </c>
      <c r="Z17" s="5" t="s">
        <v>447</v>
      </c>
      <c r="AA17" s="5" t="s">
        <v>448</v>
      </c>
      <c r="AB17" s="5" t="s">
        <v>449</v>
      </c>
      <c r="AC17" s="5"/>
      <c r="AD17" s="82" t="n">
        <v>0.3125</v>
      </c>
      <c r="AE17" s="82" t="n">
        <v>0.4791666666666667</v>
      </c>
      <c r="AF17" s="5" t="s">
        <v>450</v>
      </c>
      <c r="AG17" s="1" t="s">
        <v>451</v>
      </c>
      <c r="AH17" s="1" t="s">
        <v>427</v>
      </c>
      <c r="AI17" s="1" t="s">
        <v>452</v>
      </c>
      <c r="AJ17" s="1" t="s">
        <v>453</v>
      </c>
      <c r="AK17" s="1" t="s">
        <v>449</v>
      </c>
      <c r="AL17" s="1" t="s">
        <v>454</v>
      </c>
      <c r="AM17" s="1"/>
    </row>
    <row r="18" customHeight="1" ht="39.0">
      <c r="A18" s="17" t="n">
        <v>44025.0</v>
      </c>
      <c r="B18" s="5" t="s">
        <v>90</v>
      </c>
      <c r="C18" s="91" t="n">
        <v>0.3541666666666667</v>
      </c>
      <c r="D18" s="91" t="n">
        <v>0.4791666666666667</v>
      </c>
      <c r="E18" s="92" t="n">
        <v>0.0</v>
      </c>
      <c r="F18" s="40"/>
      <c r="G18" s="40"/>
      <c r="H18" s="40"/>
      <c r="I18" s="93" t="n">
        <v>0.3402777777777778</v>
      </c>
      <c r="J18" s="93" t="n">
        <v>0.4930555555555556</v>
      </c>
      <c r="K18" s="40"/>
      <c r="L18" s="94" t="n">
        <v>0.3298611111111111</v>
      </c>
      <c r="M18" s="93" t="n">
        <v>0.9722222222222222</v>
      </c>
      <c r="N18" s="12" t="s">
        <v>425</v>
      </c>
      <c r="O18" s="39"/>
      <c r="P18" s="39"/>
      <c r="Q18" s="39"/>
      <c r="R18" s="95" t="n">
        <v>0.2916666666666667</v>
      </c>
      <c r="S18" s="96" t="n">
        <v>0.1527777777777778</v>
      </c>
      <c r="T18" s="39"/>
      <c r="U18" s="97" t="s">
        <v>455</v>
      </c>
      <c r="V18" s="97" t="s">
        <v>456</v>
      </c>
      <c r="W18" s="40"/>
      <c r="X18" s="5"/>
      <c r="Y18" s="5"/>
      <c r="Z18" s="5"/>
      <c r="AA18" s="5"/>
      <c r="AB18" s="5"/>
      <c r="AC18" s="5"/>
      <c r="AD18" s="5"/>
      <c r="AE18" s="5"/>
      <c r="AF18" s="5"/>
      <c r="AG18" s="12" t="s">
        <v>457</v>
      </c>
      <c r="AH18" s="13" t="s">
        <v>458</v>
      </c>
      <c r="AI18" s="5" t="s">
        <v>452</v>
      </c>
      <c r="AJ18" s="5"/>
      <c r="AK18" s="98" t="s">
        <v>459</v>
      </c>
      <c r="AL18" s="5"/>
      <c r="AM18" s="5"/>
    </row>
    <row r="19" customHeight="1" ht="52.0">
      <c r="A19" s="17" t="n">
        <v>44026.0</v>
      </c>
      <c r="B19" s="5" t="s">
        <v>92</v>
      </c>
      <c r="C19" s="99" t="n">
        <v>0.3680555555555556</v>
      </c>
      <c r="D19" s="100" t="n">
        <v>0.4722222222222222</v>
      </c>
      <c r="E19" s="49" t="s">
        <v>425</v>
      </c>
      <c r="F19" s="83"/>
      <c r="G19" s="99" t="n">
        <v>0.10416666666666667</v>
      </c>
      <c r="H19" s="40"/>
      <c r="I19" s="93" t="n">
        <v>0.34375</v>
      </c>
      <c r="J19" s="93" t="n">
        <v>0.4930555555555556</v>
      </c>
      <c r="K19" s="40"/>
      <c r="L19" s="101" t="n">
        <v>0.3402777777777778</v>
      </c>
      <c r="M19" s="93" t="n">
        <v>0.9722222222222222</v>
      </c>
      <c r="N19" s="12" t="s">
        <v>420</v>
      </c>
      <c r="O19" s="39"/>
      <c r="P19" s="39"/>
      <c r="Q19" s="39"/>
      <c r="R19" s="96" t="n">
        <v>0.3333333333333333</v>
      </c>
      <c r="S19" s="96" t="n">
        <v>0.08333333333333333</v>
      </c>
      <c r="T19" s="39" t="s">
        <v>425</v>
      </c>
      <c r="U19" s="99" t="n">
        <v>0.33055555555555555</v>
      </c>
      <c r="V19" s="50" t="s">
        <v>460</v>
      </c>
      <c r="W19" s="40" t="s">
        <v>461</v>
      </c>
      <c r="X19" s="5"/>
      <c r="Y19" s="102" t="n">
        <v>0.4930555555555556</v>
      </c>
      <c r="Z19" s="5"/>
      <c r="AA19" s="5"/>
      <c r="AB19" s="5" t="s">
        <v>427</v>
      </c>
      <c r="AC19" s="5"/>
      <c r="AD19" s="5"/>
      <c r="AE19" s="5"/>
      <c r="AF19" s="5"/>
      <c r="AG19" s="13" t="s">
        <v>412</v>
      </c>
      <c r="AH19" s="13" t="s">
        <v>462</v>
      </c>
      <c r="AI19" s="5" t="s">
        <v>452</v>
      </c>
      <c r="AJ19" s="98" t="s">
        <v>451</v>
      </c>
      <c r="AK19" s="103" t="s">
        <v>463</v>
      </c>
      <c r="AL19" s="5"/>
      <c r="AM19" s="5"/>
    </row>
    <row r="20" customHeight="1" ht="52.0">
      <c r="A20" s="17" t="n">
        <v>44027.0</v>
      </c>
      <c r="B20" s="5" t="s">
        <v>94</v>
      </c>
      <c r="C20" s="91" t="n">
        <v>0.3402777777777778</v>
      </c>
      <c r="D20" s="91" t="n">
        <v>0.4722222222222222</v>
      </c>
      <c r="E20" s="49" t="s">
        <v>425</v>
      </c>
      <c r="F20" s="99" t="n">
        <v>0.4375</v>
      </c>
      <c r="G20" s="99" t="n">
        <v>0.10416666666666667</v>
      </c>
      <c r="H20" s="40"/>
      <c r="I20" s="91" t="n">
        <v>0.3472222222222222</v>
      </c>
      <c r="J20" s="91" t="n">
        <v>0.4930555555555556</v>
      </c>
      <c r="K20" s="40"/>
      <c r="L20" s="94" t="n">
        <v>0.3194444444444444</v>
      </c>
      <c r="M20" s="93" t="n">
        <v>0.9722222222222222</v>
      </c>
      <c r="N20" s="12" t="s">
        <v>420</v>
      </c>
      <c r="O20" s="39"/>
      <c r="P20" s="39"/>
      <c r="Q20" s="39"/>
      <c r="R20" s="104" t="n">
        <v>0.3541666666666667</v>
      </c>
      <c r="S20" s="105" t="n">
        <v>0.4791666666666667</v>
      </c>
      <c r="T20" s="39"/>
      <c r="U20" s="102" t="n">
        <v>0.33611111111111114</v>
      </c>
      <c r="V20" s="106" t="n">
        <v>0.5347222222222222</v>
      </c>
      <c r="W20" s="40" t="s">
        <v>464</v>
      </c>
      <c r="X20" s="101" t="n">
        <v>0.3541666666666667</v>
      </c>
      <c r="Y20" s="102" t="n">
        <v>0.4930555555555556</v>
      </c>
      <c r="Z20" s="107" t="s">
        <v>420</v>
      </c>
      <c r="AA20" s="5" t="s">
        <v>465</v>
      </c>
      <c r="AB20" s="5"/>
      <c r="AC20" s="5"/>
      <c r="AD20" s="5"/>
      <c r="AE20" s="5"/>
      <c r="AF20" s="5"/>
      <c r="AG20" s="12" t="s">
        <v>466</v>
      </c>
      <c r="AH20" s="12" t="s">
        <v>459</v>
      </c>
      <c r="AI20" s="5" t="s">
        <v>118</v>
      </c>
      <c r="AJ20" s="103" t="s">
        <v>467</v>
      </c>
      <c r="AK20" s="5"/>
      <c r="AL20" s="5" t="s">
        <v>468</v>
      </c>
      <c r="AM20" s="5"/>
    </row>
    <row r="21" customHeight="1" ht="52.0">
      <c r="A21" s="17" t="n">
        <v>44028.0</v>
      </c>
      <c r="B21" s="5" t="s">
        <v>96</v>
      </c>
      <c r="C21" s="91" t="n">
        <v>0.3472222222222222</v>
      </c>
      <c r="D21" s="91" t="n">
        <v>0.4791666666666667</v>
      </c>
      <c r="E21" s="49" t="s">
        <v>420</v>
      </c>
      <c r="F21" s="99" t="n">
        <v>0.4375</v>
      </c>
      <c r="G21" s="99" t="n">
        <v>0.10416666666666667</v>
      </c>
      <c r="H21" s="40"/>
      <c r="I21" s="91" t="n">
        <v>0.35208333333333336</v>
      </c>
      <c r="J21" s="99" t="n">
        <v>0.003472222222222222</v>
      </c>
      <c r="K21" s="40"/>
      <c r="L21" s="108" t="n">
        <v>0.3472222222222222</v>
      </c>
      <c r="M21" s="109" t="n">
        <v>0.9652777777777778</v>
      </c>
      <c r="N21" s="12" t="s">
        <v>420</v>
      </c>
      <c r="O21" s="39"/>
      <c r="P21" s="39"/>
      <c r="Q21" s="39"/>
      <c r="R21" s="105" t="n">
        <v>0.25</v>
      </c>
      <c r="S21" s="104" t="n">
        <v>0.53125</v>
      </c>
      <c r="T21" s="39" t="s">
        <v>425</v>
      </c>
      <c r="U21" s="106" t="n">
        <v>0.32916666666666666</v>
      </c>
      <c r="V21" s="91" t="n">
        <v>0.5138888888888888</v>
      </c>
      <c r="W21" s="40" t="s">
        <v>469</v>
      </c>
      <c r="X21" s="102" t="n">
        <v>0.3125</v>
      </c>
      <c r="Y21" s="82" t="n">
        <v>0.0</v>
      </c>
      <c r="Z21" s="5" t="s">
        <v>118</v>
      </c>
      <c r="AA21" s="5"/>
      <c r="AB21" s="5"/>
      <c r="AC21" s="5"/>
      <c r="AD21" s="110" t="n">
        <v>0.30069444444444443</v>
      </c>
      <c r="AE21" s="111" t="n">
        <v>0.4861111111111111</v>
      </c>
      <c r="AF21" s="5" t="s">
        <v>118</v>
      </c>
      <c r="AG21" s="12" t="s">
        <v>466</v>
      </c>
      <c r="AH21" s="12" t="s">
        <v>470</v>
      </c>
      <c r="AI21" s="5" t="s">
        <v>118</v>
      </c>
      <c r="AJ21" s="5"/>
      <c r="AK21" s="5"/>
      <c r="AL21" s="5"/>
      <c r="AM21" s="5"/>
    </row>
    <row r="22" customHeight="1" ht="52.0">
      <c r="A22" s="17" t="n">
        <v>44029.0</v>
      </c>
      <c r="B22" s="5" t="s">
        <v>98</v>
      </c>
      <c r="C22" s="91" t="n">
        <v>0.3402777777777778</v>
      </c>
      <c r="D22" s="91" t="n">
        <v>0.4791666666666667</v>
      </c>
      <c r="E22" s="49" t="s">
        <v>420</v>
      </c>
      <c r="F22" s="99" t="n">
        <v>0.3958333333333333</v>
      </c>
      <c r="G22" s="99" t="n">
        <v>0.25</v>
      </c>
      <c r="H22" s="40"/>
      <c r="I22" s="91" t="n">
        <v>0.35347222222222224</v>
      </c>
      <c r="J22" s="99" t="n">
        <v>0.009027777777777777</v>
      </c>
      <c r="K22" s="40"/>
      <c r="L22" s="108" t="n">
        <v>0.33402777777777776</v>
      </c>
      <c r="M22" s="109" t="n">
        <v>0.9583333333333334</v>
      </c>
      <c r="N22" s="12" t="s">
        <v>420</v>
      </c>
      <c r="O22" s="39"/>
      <c r="P22" s="39"/>
      <c r="Q22" s="39"/>
      <c r="R22" s="105" t="n">
        <v>0.2916666666666667</v>
      </c>
      <c r="S22" s="104" t="n">
        <v>0.5208333333333334</v>
      </c>
      <c r="T22" s="39" t="s">
        <v>420</v>
      </c>
      <c r="U22" s="91" t="n">
        <v>0.3333333333333333</v>
      </c>
      <c r="V22" s="112" t="n">
        <v>0.08333333333333333</v>
      </c>
      <c r="W22" s="40"/>
      <c r="X22" s="93" t="n">
        <v>0.3055555555555556</v>
      </c>
      <c r="Y22" s="101" t="n">
        <v>0.020833333333333332</v>
      </c>
      <c r="Z22" s="5" t="s">
        <v>118</v>
      </c>
      <c r="AA22" s="5"/>
      <c r="AB22" s="5"/>
      <c r="AC22" s="5"/>
      <c r="AD22" s="113" t="n">
        <v>0.3034722222222222</v>
      </c>
      <c r="AE22" s="111" t="n">
        <v>0.08333333333333333</v>
      </c>
      <c r="AF22" s="5" t="s">
        <v>420</v>
      </c>
      <c r="AG22" s="12" t="s">
        <v>466</v>
      </c>
      <c r="AH22" s="12" t="s">
        <v>471</v>
      </c>
      <c r="AI22" s="5" t="s">
        <v>118</v>
      </c>
      <c r="AJ22" s="5"/>
      <c r="AK22" s="5"/>
      <c r="AL22" s="5"/>
      <c r="AM22" s="5"/>
    </row>
    <row r="23" customHeight="1" ht="52.0">
      <c r="A23" s="17" t="n">
        <v>44030.0</v>
      </c>
      <c r="B23" s="5" t="s">
        <v>100</v>
      </c>
      <c r="C23" s="91" t="n">
        <v>0.3333333333333333</v>
      </c>
      <c r="D23" s="91" t="n">
        <v>0.4722222222222222</v>
      </c>
      <c r="E23" s="49" t="s">
        <v>425</v>
      </c>
      <c r="F23" s="99" t="n">
        <v>0.5208333333333334</v>
      </c>
      <c r="G23" s="99" t="n">
        <v>0.16666666666666666</v>
      </c>
      <c r="H23" s="40"/>
      <c r="I23" s="91" t="n">
        <v>0.3541666666666667</v>
      </c>
      <c r="J23" s="91" t="n">
        <v>0.4895833333333333</v>
      </c>
      <c r="K23" s="40"/>
      <c r="L23" s="94" t="n">
        <v>0.2826388888888889</v>
      </c>
      <c r="M23" s="108" t="n">
        <v>0.9861111111111112</v>
      </c>
      <c r="N23" s="114"/>
      <c r="O23" s="39"/>
      <c r="P23" s="39"/>
      <c r="Q23" s="39"/>
      <c r="R23" s="104" t="n">
        <v>0.3333333333333333</v>
      </c>
      <c r="S23" s="104" t="n">
        <v>0.08333333333333333</v>
      </c>
      <c r="T23" s="39"/>
      <c r="U23" s="112" t="n">
        <v>0.4166666666666667</v>
      </c>
      <c r="V23" s="115" t="n">
        <v>0.9583333333333334</v>
      </c>
      <c r="W23" s="40"/>
      <c r="X23" s="116" t="s">
        <v>472</v>
      </c>
      <c r="Y23" s="117" t="n">
        <v>0.4861111111111111</v>
      </c>
      <c r="Z23" s="5"/>
      <c r="AA23" s="5"/>
      <c r="AB23" s="5"/>
      <c r="AC23" s="5"/>
      <c r="AD23" s="113" t="n">
        <v>0.3125</v>
      </c>
      <c r="AE23" s="113" t="n">
        <v>0.4652777777777778</v>
      </c>
      <c r="AF23" s="5" t="s">
        <v>420</v>
      </c>
      <c r="AG23" s="13" t="s">
        <v>473</v>
      </c>
      <c r="AH23" s="114" t="s">
        <v>474</v>
      </c>
      <c r="AI23" s="5" t="s">
        <v>452</v>
      </c>
      <c r="AJ23" s="5"/>
      <c r="AK23" s="5"/>
      <c r="AL23" s="5"/>
      <c r="AM23" s="5"/>
    </row>
    <row r="24" customHeight="1" ht="52.0">
      <c r="A24" s="17" t="n">
        <v>44031.0</v>
      </c>
      <c r="B24" s="5" t="s">
        <v>101</v>
      </c>
      <c r="C24" s="91" t="n">
        <v>0.3333333333333333</v>
      </c>
      <c r="D24" s="99" t="n">
        <v>0.5208333333333334</v>
      </c>
      <c r="E24" s="49" t="s">
        <v>420</v>
      </c>
      <c r="F24" s="99" t="n">
        <v>0.5208333333333334</v>
      </c>
      <c r="G24" s="40"/>
      <c r="H24" s="40"/>
      <c r="I24" s="91" t="n">
        <v>0.3402777777777778</v>
      </c>
      <c r="J24" s="91" t="n">
        <v>0.4895833333333333</v>
      </c>
      <c r="K24" s="40"/>
      <c r="L24" s="94" t="n">
        <v>0.2951388888888889</v>
      </c>
      <c r="M24" s="118" t="n">
        <v>0.07222222222222222</v>
      </c>
      <c r="N24" s="12" t="s">
        <v>420</v>
      </c>
      <c r="O24" s="39"/>
      <c r="P24" s="39"/>
      <c r="Q24" s="39"/>
      <c r="R24" s="105" t="n">
        <v>0.25</v>
      </c>
      <c r="S24" s="104" t="n">
        <v>0.4930555555555556</v>
      </c>
      <c r="T24" s="39" t="s">
        <v>475</v>
      </c>
      <c r="U24" s="112" t="n">
        <v>0.4583333333333333</v>
      </c>
      <c r="V24" s="119" t="s">
        <v>439</v>
      </c>
      <c r="W24" s="40"/>
      <c r="X24" s="117" t="n">
        <v>0.2881944444444444</v>
      </c>
      <c r="Y24" s="117" t="n">
        <v>0.4791666666666667</v>
      </c>
      <c r="Z24" s="5"/>
      <c r="AA24" s="5"/>
      <c r="AB24" s="5"/>
      <c r="AC24" s="5"/>
      <c r="AD24" s="113" t="n">
        <v>0.2916666666666667</v>
      </c>
      <c r="AE24" s="101" t="n">
        <v>0.5</v>
      </c>
      <c r="AF24" s="5" t="s">
        <v>118</v>
      </c>
      <c r="AG24" s="114" t="s">
        <v>412</v>
      </c>
      <c r="AH24" s="114" t="s">
        <v>459</v>
      </c>
      <c r="AI24" s="5" t="s">
        <v>452</v>
      </c>
      <c r="AJ24" s="5"/>
      <c r="AK24" s="5"/>
      <c r="AL24" s="5"/>
      <c r="AM24" s="5"/>
    </row>
    <row r="25" customHeight="1" ht="52.0">
      <c r="A25" s="17" t="n">
        <v>44032.0</v>
      </c>
      <c r="B25" s="5" t="s">
        <v>90</v>
      </c>
      <c r="C25" s="120" t="n">
        <v>0.3125</v>
      </c>
      <c r="D25" s="26" t="s">
        <v>476</v>
      </c>
      <c r="E25" s="25" t="s">
        <v>420</v>
      </c>
      <c r="F25" s="86" t="n">
        <v>0.5416666666666666</v>
      </c>
      <c r="G25" s="86" t="n">
        <v>0.1875</v>
      </c>
      <c r="H25" s="1"/>
      <c r="I25" s="120" t="n">
        <v>0.3125</v>
      </c>
      <c r="J25" s="86" t="n">
        <v>0.003472222222222222</v>
      </c>
      <c r="K25" s="1"/>
      <c r="L25" s="121" t="n">
        <v>0.39791666666666664</v>
      </c>
      <c r="M25" s="108" t="n">
        <v>0.11597222222222223</v>
      </c>
      <c r="N25" s="1"/>
      <c r="O25" s="1"/>
      <c r="P25" s="1"/>
      <c r="Q25" s="1"/>
      <c r="R25" s="122" t="n">
        <v>0.25</v>
      </c>
      <c r="S25" s="122" t="n">
        <v>0.4791666666666667</v>
      </c>
      <c r="T25" s="1" t="s">
        <v>425</v>
      </c>
      <c r="U25" s="123" t="s">
        <v>439</v>
      </c>
      <c r="V25" s="124" t="n">
        <v>0.9166666666666666</v>
      </c>
      <c r="W25" s="1"/>
      <c r="X25" s="125" t="n">
        <v>0.2881944444444444</v>
      </c>
      <c r="Y25" s="1"/>
      <c r="Z25" s="1"/>
      <c r="AA25" s="1"/>
      <c r="AB25" s="1"/>
      <c r="AC25" s="1"/>
      <c r="AD25" s="126" t="n">
        <v>0.3333333333333333</v>
      </c>
      <c r="AE25" s="126" t="n">
        <v>0.5</v>
      </c>
      <c r="AF25" s="1" t="s">
        <v>477</v>
      </c>
      <c r="AG25" s="114" t="s">
        <v>412</v>
      </c>
      <c r="AH25" s="13" t="s">
        <v>478</v>
      </c>
      <c r="AI25" s="2" t="s">
        <v>452</v>
      </c>
      <c r="AJ25" s="1"/>
      <c r="AK25" s="5"/>
      <c r="AL25" s="5"/>
      <c r="AM25" s="5"/>
    </row>
    <row r="26" customHeight="1" ht="26.0">
      <c r="A26" s="17" t="n">
        <v>44033.0</v>
      </c>
      <c r="B26" s="5" t="s">
        <v>92</v>
      </c>
      <c r="C26" s="120" t="n">
        <v>0.3541666666666667</v>
      </c>
      <c r="D26" s="120" t="n">
        <v>0.4791666666666667</v>
      </c>
      <c r="E26" s="25" t="s">
        <v>425</v>
      </c>
      <c r="F26" s="86" t="n">
        <v>0.5208333333333334</v>
      </c>
      <c r="G26" s="86" t="n">
        <v>0.16666666666666666</v>
      </c>
      <c r="H26" s="1"/>
      <c r="I26" s="120" t="n">
        <v>0.3368055555555556</v>
      </c>
      <c r="J26" s="120" t="n">
        <v>0.4895833333333333</v>
      </c>
      <c r="K26" s="1"/>
      <c r="L26" s="127" t="n">
        <v>0.38819444444444445</v>
      </c>
      <c r="M26" s="86" t="n">
        <v>0.020833333333333332</v>
      </c>
      <c r="N26" s="12" t="s">
        <v>420</v>
      </c>
      <c r="O26" s="1"/>
      <c r="P26" s="1"/>
      <c r="Q26" s="1"/>
      <c r="R26" s="122" t="n">
        <v>0.25277777777777777</v>
      </c>
      <c r="S26" s="126" t="n">
        <v>0.4895833333333333</v>
      </c>
      <c r="T26" s="1" t="s">
        <v>479</v>
      </c>
      <c r="U26" s="124" t="n">
        <v>0.2916666666666667</v>
      </c>
      <c r="V26" s="124" t="n">
        <v>0.013888888888888888</v>
      </c>
      <c r="W26" s="1"/>
      <c r="X26" s="1"/>
      <c r="Y26" s="1"/>
      <c r="Z26" s="1"/>
      <c r="AA26" s="1"/>
      <c r="AB26" s="1"/>
      <c r="AC26" s="1"/>
      <c r="AD26" s="128" t="n">
        <v>0.2916666666666667</v>
      </c>
      <c r="AE26" s="128" t="n">
        <v>0.4652777777777778</v>
      </c>
      <c r="AF26" s="1" t="s">
        <v>118</v>
      </c>
      <c r="AG26" s="114" t="s">
        <v>466</v>
      </c>
      <c r="AH26" s="114" t="s">
        <v>459</v>
      </c>
      <c r="AI26" s="2" t="s">
        <v>118</v>
      </c>
      <c r="AJ26" s="1"/>
      <c r="AK26" s="5"/>
      <c r="AL26" s="5"/>
      <c r="AM26" s="5"/>
    </row>
    <row r="27" customHeight="1" ht="26.0">
      <c r="A27" s="17" t="n">
        <v>44034.0</v>
      </c>
      <c r="B27" s="5" t="s">
        <v>94</v>
      </c>
      <c r="C27" s="120" t="n">
        <v>0.3125</v>
      </c>
      <c r="D27" s="120" t="n">
        <v>0.4791666666666667</v>
      </c>
      <c r="E27" s="25" t="s">
        <v>425</v>
      </c>
      <c r="F27" s="86" t="n">
        <v>0.4166666666666667</v>
      </c>
      <c r="G27" s="86" t="n">
        <v>0.0625</v>
      </c>
      <c r="H27" s="1"/>
      <c r="I27" s="120" t="n">
        <v>0.34375</v>
      </c>
      <c r="J27" s="86" t="n">
        <v>0.020833333333333332</v>
      </c>
      <c r="K27" s="1"/>
      <c r="L27" s="127" t="n">
        <v>0.34652777777777777</v>
      </c>
      <c r="M27" s="86" t="n">
        <v>0.9965277777777778</v>
      </c>
      <c r="N27" s="12" t="s">
        <v>420</v>
      </c>
      <c r="O27" s="1"/>
      <c r="P27" s="1"/>
      <c r="Q27" s="1"/>
      <c r="R27" s="122" t="n">
        <v>0.2604166666666667</v>
      </c>
      <c r="S27" s="122" t="n">
        <v>0.4583333333333333</v>
      </c>
      <c r="T27" s="1"/>
      <c r="U27" s="124" t="n">
        <v>0.33055555555555555</v>
      </c>
      <c r="V27" s="124" t="n">
        <v>0.9930555555555556</v>
      </c>
      <c r="W27" s="1"/>
      <c r="X27" s="1"/>
      <c r="Y27" s="1"/>
      <c r="Z27" s="1"/>
      <c r="AA27" s="1"/>
      <c r="AB27" s="1"/>
      <c r="AC27" s="1"/>
      <c r="AD27" s="126" t="n">
        <v>0.34375</v>
      </c>
      <c r="AE27" s="1"/>
      <c r="AF27" s="1"/>
      <c r="AG27" s="114" t="s">
        <v>466</v>
      </c>
      <c r="AH27" s="114" t="s">
        <v>480</v>
      </c>
      <c r="AI27" s="2" t="s">
        <v>118</v>
      </c>
      <c r="AJ27" s="1"/>
      <c r="AK27" s="5"/>
      <c r="AL27" s="5"/>
      <c r="AM27" s="5"/>
    </row>
    <row r="28" customHeight="1" ht="52.0">
      <c r="A28" s="17" t="n">
        <v>44035.0</v>
      </c>
      <c r="B28" s="5" t="s">
        <v>96</v>
      </c>
      <c r="C28" s="120" t="n">
        <v>0.3333333333333333</v>
      </c>
      <c r="D28" s="120" t="n">
        <v>0.4722222222222222</v>
      </c>
      <c r="E28" s="25" t="s">
        <v>481</v>
      </c>
      <c r="F28" s="86" t="n">
        <v>0.3958333333333333</v>
      </c>
      <c r="G28" s="86" t="n">
        <v>0.5208333333333334</v>
      </c>
      <c r="H28" s="1"/>
      <c r="I28" s="86" t="n">
        <v>0.3715277777777778</v>
      </c>
      <c r="J28" s="86" t="n">
        <v>0.03333333333333333</v>
      </c>
      <c r="K28" s="1"/>
      <c r="L28" s="94" t="n">
        <v>0.30972222222222223</v>
      </c>
      <c r="M28" s="88" t="n">
        <v>0.9861111111111112</v>
      </c>
      <c r="N28" s="12" t="s">
        <v>420</v>
      </c>
      <c r="O28" s="1"/>
      <c r="P28" s="1"/>
      <c r="Q28" s="1"/>
      <c r="R28" s="122" t="n">
        <v>0.2708333333333333</v>
      </c>
      <c r="S28" s="122" t="n">
        <v>0.4791666666666667</v>
      </c>
      <c r="T28" s="1"/>
      <c r="U28" s="124" t="n">
        <v>0.3472222222222222</v>
      </c>
      <c r="V28" s="129" t="s">
        <v>482</v>
      </c>
      <c r="W28" s="1"/>
      <c r="X28" s="1"/>
      <c r="Y28" s="1"/>
      <c r="Z28" s="1"/>
      <c r="AA28" s="1"/>
      <c r="AB28" s="1"/>
      <c r="AC28" s="1"/>
      <c r="AD28" s="1"/>
      <c r="AE28" s="1"/>
      <c r="AF28" s="1"/>
      <c r="AG28" s="114" t="s">
        <v>466</v>
      </c>
      <c r="AH28" s="114" t="s">
        <v>471</v>
      </c>
      <c r="AI28" s="2" t="s">
        <v>118</v>
      </c>
      <c r="AJ28" s="1"/>
      <c r="AK28" s="5"/>
      <c r="AL28" s="5"/>
      <c r="AM28" s="5"/>
    </row>
    <row r="29" customHeight="1" ht="39.0">
      <c r="A29" s="17" t="n">
        <v>44036.0</v>
      </c>
      <c r="B29" s="5" t="s">
        <v>98</v>
      </c>
      <c r="C29" s="81" t="n">
        <v>0.3541666666666667</v>
      </c>
      <c r="D29" s="81" t="n">
        <v>0.4791666666666667</v>
      </c>
      <c r="E29" s="1" t="s">
        <v>483</v>
      </c>
      <c r="F29" s="120" t="n">
        <v>0.2847222222222222</v>
      </c>
      <c r="G29" s="81" t="n">
        <v>0.20833333333333334</v>
      </c>
      <c r="H29" s="1"/>
      <c r="I29" s="86" t="n">
        <v>0.36666666666666664</v>
      </c>
      <c r="J29" s="86" t="n">
        <v>0.0</v>
      </c>
      <c r="K29" s="1"/>
      <c r="L29" s="94" t="n">
        <v>0.3298611111111111</v>
      </c>
      <c r="M29" s="88" t="n">
        <v>0.01597222222222222</v>
      </c>
      <c r="N29" s="12" t="s">
        <v>420</v>
      </c>
      <c r="O29" s="1"/>
      <c r="P29" s="1"/>
      <c r="Q29" s="1"/>
      <c r="R29" s="122" t="n">
        <v>0.25</v>
      </c>
      <c r="S29" s="122" t="n">
        <v>0.4583333333333333</v>
      </c>
      <c r="T29" s="1"/>
      <c r="U29" s="129" t="s">
        <v>484</v>
      </c>
      <c r="V29" s="124" t="n">
        <v>0.041666666666666664</v>
      </c>
      <c r="W29" s="1"/>
      <c r="X29" s="1"/>
      <c r="Y29" s="1"/>
      <c r="Z29" s="1"/>
      <c r="AA29" s="1"/>
      <c r="AB29" s="1"/>
      <c r="AC29" s="1"/>
      <c r="AD29" s="1"/>
      <c r="AE29" s="1"/>
      <c r="AF29" s="1"/>
      <c r="AG29" s="13" t="s">
        <v>465</v>
      </c>
      <c r="AH29" s="13" t="s">
        <v>463</v>
      </c>
      <c r="AI29" s="1" t="s">
        <v>452</v>
      </c>
      <c r="AJ29" s="1"/>
      <c r="AK29" s="5"/>
      <c r="AL29" s="5"/>
      <c r="AM29" s="5"/>
    </row>
    <row r="30" customHeight="1" ht="52.0">
      <c r="A30" s="17" t="n">
        <v>44037.0</v>
      </c>
      <c r="B30" s="5" t="s">
        <v>100</v>
      </c>
      <c r="C30" s="1"/>
      <c r="D30" s="1"/>
      <c r="E30" s="1"/>
      <c r="F30" s="81" t="n">
        <v>0.4583333333333333</v>
      </c>
      <c r="G30" s="1"/>
      <c r="H30" s="1"/>
      <c r="I30" s="86" t="n">
        <v>0.375</v>
      </c>
      <c r="J30" s="120" t="n">
        <v>0.4909722222222222</v>
      </c>
      <c r="K30" s="1"/>
      <c r="L30" s="94" t="n">
        <v>0.33194444444444443</v>
      </c>
      <c r="M30" s="86" t="n">
        <v>0.0</v>
      </c>
      <c r="N30" s="12" t="s">
        <v>420</v>
      </c>
      <c r="O30" s="1"/>
      <c r="P30" s="1"/>
      <c r="Q30" s="1"/>
      <c r="R30" s="122" t="n">
        <v>0.25</v>
      </c>
      <c r="S30" s="122" t="n">
        <v>0.4791666666666667</v>
      </c>
      <c r="T30" s="1"/>
      <c r="U30" s="130" t="n">
        <v>0.375</v>
      </c>
      <c r="V30" s="131" t="s">
        <v>485</v>
      </c>
      <c r="W30" s="1"/>
      <c r="X30" s="1"/>
      <c r="Y30" s="1"/>
      <c r="Z30" s="1"/>
      <c r="AA30" s="1"/>
      <c r="AB30" s="1"/>
      <c r="AC30" s="1"/>
      <c r="AD30" s="1"/>
      <c r="AE30" s="1"/>
      <c r="AF30" s="1"/>
      <c r="AG30" s="13" t="s">
        <v>486</v>
      </c>
      <c r="AH30" s="13" t="s">
        <v>458</v>
      </c>
      <c r="AI30" s="1" t="s">
        <v>452</v>
      </c>
      <c r="AJ30" s="1"/>
      <c r="AK30" s="5"/>
      <c r="AL30" s="5"/>
      <c r="AM30" s="5"/>
    </row>
    <row r="31" customHeight="1" ht="52.0">
      <c r="A31" s="17" t="n">
        <v>44038.0</v>
      </c>
      <c r="B31" s="5" t="s">
        <v>101</v>
      </c>
      <c r="C31" s="14"/>
      <c r="D31" s="14"/>
      <c r="E31" s="14"/>
      <c r="F31" s="14"/>
      <c r="G31" s="14"/>
      <c r="H31" s="14"/>
      <c r="I31" s="132" t="n">
        <v>0.3472222222222222</v>
      </c>
      <c r="J31" s="132" t="n">
        <v>0.4875</v>
      </c>
      <c r="K31" s="14"/>
      <c r="L31" s="133" t="n">
        <v>0.4305555555555556</v>
      </c>
      <c r="M31" s="134" t="n">
        <v>0.041666666666666664</v>
      </c>
      <c r="N31" s="12" t="s">
        <v>420</v>
      </c>
      <c r="O31" s="14"/>
      <c r="P31" s="14"/>
      <c r="Q31" s="14"/>
      <c r="R31" s="135" t="n">
        <v>0.2708333333333333</v>
      </c>
      <c r="S31" s="14"/>
      <c r="T31" s="14"/>
      <c r="U31" s="136" t="n">
        <v>0.4861111111111111</v>
      </c>
      <c r="V31" s="137" t="n">
        <v>0.04861111111111111</v>
      </c>
      <c r="W31" s="14"/>
      <c r="X31" s="14"/>
      <c r="Y31" s="5"/>
      <c r="Z31" s="5"/>
      <c r="AA31" s="5"/>
      <c r="AB31" s="5"/>
      <c r="AC31" s="5"/>
      <c r="AD31" s="5"/>
      <c r="AE31" s="5"/>
      <c r="AF31" s="5"/>
      <c r="AG31" s="5"/>
      <c r="AH31" s="5"/>
      <c r="AI31" s="5"/>
      <c r="AJ31" s="5"/>
      <c r="AK31" s="5"/>
      <c r="AL31" s="5"/>
      <c r="AM31" s="5"/>
    </row>
    <row r="32">
      <c r="A32" s="1"/>
      <c r="B32" s="5"/>
      <c r="C32" s="60" t="s">
        <v>114</v>
      </c>
      <c r="D32" s="60"/>
      <c r="E32" s="60"/>
      <c r="F32" s="138" t="s">
        <v>266</v>
      </c>
      <c r="G32" s="138"/>
      <c r="H32" s="138"/>
      <c r="I32" s="138" t="s">
        <v>266</v>
      </c>
      <c r="J32" s="138"/>
      <c r="K32" s="138"/>
      <c r="L32" s="138" t="s">
        <v>266</v>
      </c>
      <c r="M32" s="138"/>
      <c r="N32" s="138"/>
      <c r="O32" s="138" t="s">
        <v>266</v>
      </c>
      <c r="P32" s="138"/>
      <c r="Q32" s="138"/>
      <c r="R32" s="60" t="s">
        <v>114</v>
      </c>
      <c r="S32" s="60"/>
      <c r="T32" s="60"/>
      <c r="U32" s="138" t="s">
        <v>266</v>
      </c>
      <c r="V32" s="138"/>
      <c r="W32" s="138"/>
      <c r="X32" s="138" t="s">
        <v>266</v>
      </c>
      <c r="Y32" s="138"/>
      <c r="Z32" s="138"/>
      <c r="AA32" s="138" t="s">
        <v>266</v>
      </c>
      <c r="AB32" s="138"/>
      <c r="AC32" s="138"/>
      <c r="AD32" s="138" t="s">
        <v>266</v>
      </c>
      <c r="AE32" s="138"/>
      <c r="AF32" s="138"/>
      <c r="AG32" s="138" t="s">
        <v>266</v>
      </c>
      <c r="AH32" s="138"/>
      <c r="AI32" s="138"/>
      <c r="AJ32" s="5"/>
      <c r="AK32" s="5"/>
      <c r="AL32" s="5"/>
      <c r="AM32" s="5"/>
    </row>
    <row r="33" customHeight="1" ht="26.0">
      <c r="A33" s="1" t="s">
        <v>487</v>
      </c>
      <c r="B33" s="5" t="s">
        <v>488</v>
      </c>
      <c r="C33" s="14"/>
      <c r="D33" s="14"/>
      <c r="E33" s="14"/>
      <c r="F33" s="14"/>
      <c r="G33" s="14"/>
      <c r="H33" s="14"/>
      <c r="I33" s="14"/>
      <c r="J33" s="14"/>
      <c r="K33" s="14"/>
      <c r="L33" s="14"/>
      <c r="M33" s="14"/>
      <c r="N33" s="14"/>
      <c r="O33" s="14"/>
      <c r="P33" s="14"/>
      <c r="Q33" s="14"/>
      <c r="R33" s="14"/>
      <c r="S33" s="14"/>
      <c r="T33" s="14"/>
      <c r="U33" s="14"/>
      <c r="V33" s="14"/>
      <c r="W33" s="14"/>
      <c r="X33" s="14"/>
      <c r="Y33" s="5"/>
      <c r="Z33" s="5"/>
      <c r="AA33" s="5"/>
      <c r="AB33" s="5"/>
      <c r="AC33" s="5"/>
      <c r="AD33" s="5"/>
      <c r="AE33" s="5"/>
      <c r="AF33" s="5"/>
      <c r="AG33" s="5"/>
      <c r="AH33" s="5"/>
      <c r="AI33" s="5"/>
      <c r="AJ33" s="5"/>
      <c r="AK33" s="5"/>
      <c r="AL33" s="5"/>
      <c r="AM33" s="5"/>
    </row>
    <row r="34" customHeight="1" ht="26.0">
      <c r="A34" s="139"/>
      <c r="B34" s="12" t="s">
        <v>489</v>
      </c>
      <c r="C34" s="14"/>
      <c r="D34" s="14"/>
      <c r="E34" s="14"/>
      <c r="F34" s="14"/>
      <c r="G34" s="14"/>
      <c r="H34" s="14"/>
      <c r="I34" s="14"/>
      <c r="J34" s="14"/>
      <c r="K34" s="14"/>
      <c r="L34" s="14"/>
      <c r="M34" s="14"/>
      <c r="N34" s="14"/>
      <c r="O34" s="14"/>
      <c r="P34" s="14"/>
      <c r="Q34" s="14"/>
      <c r="R34" s="14"/>
      <c r="S34" s="14"/>
      <c r="T34" s="14"/>
      <c r="U34" s="14"/>
      <c r="V34" s="14"/>
      <c r="W34" s="14"/>
      <c r="X34" s="14"/>
      <c r="Y34" s="5"/>
      <c r="Z34" s="5"/>
      <c r="AA34" s="5"/>
      <c r="AB34" s="5"/>
      <c r="AC34" s="5"/>
      <c r="AD34" s="5"/>
      <c r="AE34" s="5"/>
      <c r="AF34" s="5"/>
      <c r="AG34" s="5"/>
      <c r="AH34" s="5"/>
      <c r="AI34" s="5"/>
      <c r="AJ34" s="5"/>
      <c r="AK34" s="5"/>
      <c r="AL34" s="5"/>
      <c r="AM34" s="5"/>
    </row>
    <row r="35" customHeight="1" ht="26.0">
      <c r="A35" s="139"/>
      <c r="B35" s="13" t="s">
        <v>490</v>
      </c>
      <c r="C35" s="14"/>
      <c r="D35" s="14"/>
      <c r="E35" s="14"/>
      <c r="F35" s="14"/>
      <c r="G35" s="14"/>
      <c r="H35" s="14"/>
      <c r="I35" s="14"/>
      <c r="J35" s="14"/>
      <c r="K35" s="14"/>
      <c r="L35" s="14"/>
      <c r="M35" s="14"/>
      <c r="N35" s="14"/>
      <c r="O35" s="14"/>
      <c r="P35" s="14"/>
      <c r="Q35" s="14"/>
      <c r="R35" s="14"/>
      <c r="S35" s="14"/>
      <c r="T35" s="14"/>
      <c r="U35" s="14"/>
      <c r="V35" s="14"/>
      <c r="W35" s="14"/>
      <c r="X35" s="14"/>
      <c r="Y35" s="5"/>
      <c r="Z35" s="5"/>
      <c r="AA35" s="5"/>
      <c r="AB35" s="5"/>
      <c r="AC35" s="5"/>
      <c r="AD35" s="5"/>
      <c r="AE35" s="5"/>
      <c r="AF35" s="5"/>
      <c r="AG35" s="5"/>
      <c r="AH35" s="5"/>
      <c r="AI35" s="5"/>
      <c r="AJ35" s="5"/>
      <c r="AK35" s="5"/>
      <c r="AL35" s="5"/>
      <c r="AM35" s="5"/>
    </row>
    <row r="36" customHeight="1" ht="39.0">
      <c r="A36" s="1"/>
      <c r="B36" s="140" t="s">
        <v>491</v>
      </c>
      <c r="C36" s="14"/>
      <c r="D36" s="14"/>
      <c r="E36" s="14"/>
      <c r="F36" s="14"/>
      <c r="G36" s="14"/>
      <c r="H36" s="14"/>
      <c r="I36" s="14"/>
      <c r="J36" s="14"/>
      <c r="K36" s="14"/>
      <c r="L36" s="14"/>
      <c r="M36" s="14"/>
      <c r="N36" s="14"/>
      <c r="O36" s="14"/>
      <c r="P36" s="14"/>
      <c r="Q36" s="14"/>
      <c r="R36" s="14"/>
      <c r="S36" s="14"/>
      <c r="T36" s="14"/>
      <c r="U36" s="14"/>
      <c r="V36" s="14"/>
      <c r="W36" s="14"/>
      <c r="X36" s="14"/>
      <c r="Y36" s="5"/>
      <c r="Z36" s="5"/>
      <c r="AA36" s="5"/>
      <c r="AB36" s="5"/>
      <c r="AC36" s="5"/>
      <c r="AD36" s="5"/>
      <c r="AE36" s="5"/>
      <c r="AF36" s="5"/>
      <c r="AG36" s="5"/>
      <c r="AH36" s="5"/>
      <c r="AI36" s="5"/>
      <c r="AJ36" s="5"/>
      <c r="AK36" s="5"/>
      <c r="AL36" s="5"/>
      <c r="AM36" s="5"/>
    </row>
    <row r="37">
      <c r="A37" s="14" t="s">
        <v>30</v>
      </c>
      <c r="B37" s="14"/>
      <c r="C37" s="14"/>
      <c r="D37" s="14"/>
      <c r="E37" s="14"/>
      <c r="F37" s="14"/>
      <c r="G37" s="14"/>
      <c r="H37" s="14"/>
      <c r="I37" s="14"/>
      <c r="J37" s="14"/>
      <c r="K37" s="14"/>
      <c r="L37" s="14"/>
      <c r="M37" s="14"/>
      <c r="N37" s="14"/>
      <c r="O37" s="14"/>
      <c r="P37" s="14"/>
      <c r="Q37" s="14"/>
      <c r="R37" s="14"/>
      <c r="S37" s="14"/>
      <c r="T37" s="14"/>
      <c r="U37" s="14"/>
      <c r="V37" s="14"/>
      <c r="W37" s="14"/>
      <c r="X37" s="14"/>
      <c r="Y37" s="5"/>
      <c r="Z37" s="5"/>
      <c r="AA37" s="5"/>
      <c r="AB37" s="5"/>
      <c r="AC37" s="5"/>
      <c r="AD37" s="5"/>
      <c r="AE37" s="5"/>
      <c r="AF37" s="5"/>
      <c r="AG37" s="5"/>
      <c r="AH37" s="5"/>
      <c r="AI37" s="5"/>
      <c r="AJ37" s="5"/>
      <c r="AK37" s="5"/>
      <c r="AL37" s="5"/>
      <c r="AM37" s="5"/>
    </row>
    <row r="38">
      <c r="A38" s="1" t="s">
        <v>0</v>
      </c>
      <c r="B38" s="15" t="s">
        <v>102</v>
      </c>
      <c r="C38" s="53" t="s">
        <v>2</v>
      </c>
      <c r="D38" s="53"/>
      <c r="E38" s="53"/>
      <c r="F38" s="53" t="s">
        <v>4</v>
      </c>
      <c r="G38" s="53"/>
      <c r="H38" s="53"/>
      <c r="I38" s="53" t="s">
        <v>3</v>
      </c>
      <c r="J38" s="53"/>
      <c r="K38" s="53"/>
      <c r="L38" s="53" t="s">
        <v>35</v>
      </c>
      <c r="M38" s="53"/>
      <c r="N38" s="53"/>
      <c r="O38" s="41" t="s">
        <v>32</v>
      </c>
      <c r="P38" s="41"/>
      <c r="Q38" s="41"/>
      <c r="R38" s="41" t="s">
        <v>31</v>
      </c>
      <c r="S38" s="41"/>
      <c r="T38" s="41"/>
      <c r="U38" s="40" t="s">
        <v>230</v>
      </c>
      <c r="V38" s="40"/>
      <c r="W38" s="40"/>
      <c r="X38" s="5" t="s">
        <v>36</v>
      </c>
      <c r="Y38" s="5"/>
      <c r="Z38" s="5"/>
      <c r="AA38" s="5"/>
      <c r="AB38" s="5"/>
      <c r="AC38" s="5"/>
      <c r="AD38" s="5"/>
      <c r="AE38" s="5"/>
      <c r="AF38" s="5"/>
      <c r="AG38" s="5"/>
      <c r="AH38" s="5"/>
      <c r="AI38" s="5"/>
      <c r="AJ38" s="5"/>
      <c r="AK38" s="5"/>
      <c r="AL38" s="5"/>
      <c r="AM38" s="5"/>
    </row>
    <row r="39" customHeight="1" ht="26.0">
      <c r="A39" s="31"/>
      <c r="B39" s="5" t="s">
        <v>406</v>
      </c>
      <c r="C39" s="40" t="s">
        <v>407</v>
      </c>
      <c r="D39" s="40" t="s">
        <v>408</v>
      </c>
      <c r="E39" s="5" t="s">
        <v>409</v>
      </c>
      <c r="F39" s="40" t="s">
        <v>407</v>
      </c>
      <c r="G39" s="40" t="s">
        <v>408</v>
      </c>
      <c r="H39" s="5" t="s">
        <v>409</v>
      </c>
      <c r="I39" s="40" t="s">
        <v>407</v>
      </c>
      <c r="J39" s="40" t="s">
        <v>408</v>
      </c>
      <c r="K39" s="5" t="s">
        <v>409</v>
      </c>
      <c r="L39" s="40" t="s">
        <v>407</v>
      </c>
      <c r="M39" s="40" t="s">
        <v>408</v>
      </c>
      <c r="N39" s="5" t="s">
        <v>409</v>
      </c>
      <c r="O39" s="40" t="s">
        <v>407</v>
      </c>
      <c r="P39" s="40" t="s">
        <v>408</v>
      </c>
      <c r="Q39" s="5" t="s">
        <v>409</v>
      </c>
      <c r="R39" s="40" t="s">
        <v>407</v>
      </c>
      <c r="S39" s="40" t="s">
        <v>408</v>
      </c>
      <c r="T39" s="5" t="s">
        <v>409</v>
      </c>
      <c r="U39" s="40" t="s">
        <v>407</v>
      </c>
      <c r="V39" s="40" t="s">
        <v>408</v>
      </c>
      <c r="W39" s="5" t="s">
        <v>409</v>
      </c>
      <c r="X39" s="40" t="s">
        <v>407</v>
      </c>
      <c r="Y39" s="40" t="s">
        <v>408</v>
      </c>
      <c r="Z39" s="5" t="s">
        <v>409</v>
      </c>
      <c r="AA39" s="5"/>
      <c r="AB39" s="5"/>
      <c r="AC39" s="5"/>
      <c r="AD39" s="5"/>
      <c r="AE39" s="5"/>
      <c r="AF39" s="5"/>
      <c r="AG39" s="5"/>
      <c r="AH39" s="5"/>
      <c r="AI39" s="5"/>
      <c r="AJ39" s="5"/>
      <c r="AK39" s="5"/>
      <c r="AL39" s="5"/>
      <c r="AM39" s="5"/>
    </row>
    <row r="40" customHeight="1" ht="39.0">
      <c r="A40" s="1"/>
      <c r="B40" s="141" t="s">
        <v>410</v>
      </c>
      <c r="C40" s="40" t="s">
        <v>437</v>
      </c>
      <c r="D40" s="40" t="s">
        <v>438</v>
      </c>
      <c r="E40" s="5" t="s">
        <v>439</v>
      </c>
      <c r="F40" s="15" t="s">
        <v>448</v>
      </c>
      <c r="G40" s="15" t="s">
        <v>492</v>
      </c>
      <c r="H40" s="15"/>
      <c r="I40" s="53" t="s">
        <v>437</v>
      </c>
      <c r="J40" s="53" t="s">
        <v>441</v>
      </c>
      <c r="K40" s="15" t="s">
        <v>439</v>
      </c>
      <c r="L40" s="142" t="s">
        <v>493</v>
      </c>
      <c r="M40" s="142" t="s">
        <v>494</v>
      </c>
      <c r="N40" s="15"/>
      <c r="O40" s="2" t="s">
        <v>495</v>
      </c>
      <c r="P40" s="2" t="s">
        <v>496</v>
      </c>
      <c r="R40" s="2" t="s">
        <v>497</v>
      </c>
      <c r="S40" s="2" t="s">
        <v>498</v>
      </c>
      <c r="U40" s="82" t="n">
        <v>0.2708333333333333</v>
      </c>
      <c r="V40" s="5" t="s">
        <v>499</v>
      </c>
      <c r="W40" s="5" t="s">
        <v>420</v>
      </c>
      <c r="X40" s="40" t="s">
        <v>437</v>
      </c>
      <c r="Y40" s="40" t="s">
        <v>500</v>
      </c>
      <c r="Z40" s="5"/>
      <c r="AA40" s="5"/>
      <c r="AB40" s="5"/>
      <c r="AC40" s="5"/>
      <c r="AD40" s="5"/>
      <c r="AE40" s="5"/>
      <c r="AF40" s="5"/>
      <c r="AG40" s="5"/>
      <c r="AH40" s="5"/>
      <c r="AI40" s="5"/>
      <c r="AJ40" s="5"/>
      <c r="AK40" s="5"/>
      <c r="AL40" s="5"/>
      <c r="AM40" s="5"/>
    </row>
    <row r="41" customHeight="1" ht="52.0">
      <c r="A41" s="17" t="n">
        <v>44004.0</v>
      </c>
      <c r="B41" s="15" t="s">
        <v>90</v>
      </c>
      <c r="C41" s="143" t="n">
        <v>0.35347222222222224</v>
      </c>
      <c r="D41" s="144" t="s">
        <v>501</v>
      </c>
      <c r="E41" s="145" t="s">
        <v>502</v>
      </c>
      <c r="F41" s="146" t="s">
        <v>412</v>
      </c>
      <c r="G41" s="15"/>
      <c r="H41" s="15"/>
      <c r="I41" s="147" t="n">
        <v>0.3888888888888889</v>
      </c>
      <c r="J41" s="148" t="n">
        <v>0.022916666666666665</v>
      </c>
      <c r="K41" s="15"/>
      <c r="L41" s="101" t="n">
        <v>0.375</v>
      </c>
      <c r="M41" s="101" t="n">
        <v>0.08333333333333333</v>
      </c>
      <c r="N41" s="146" t="s">
        <v>420</v>
      </c>
      <c r="O41" s="149" t="s">
        <v>503</v>
      </c>
      <c r="P41" s="150" t="n">
        <v>0.0625</v>
      </c>
      <c r="Q41" s="2" t="s">
        <v>118</v>
      </c>
      <c r="R41" s="151" t="n">
        <v>0.3125</v>
      </c>
      <c r="S41" s="151" t="n">
        <v>0.4875</v>
      </c>
      <c r="T41" s="152" t="s">
        <v>420</v>
      </c>
      <c r="U41" s="95" t="n">
        <v>0.25</v>
      </c>
      <c r="V41" s="95" t="n">
        <v>0.4270833333333333</v>
      </c>
      <c r="W41" s="153" t="s">
        <v>118</v>
      </c>
      <c r="X41" s="5"/>
      <c r="Y41" s="5"/>
      <c r="Z41" s="5"/>
      <c r="AA41" s="5"/>
      <c r="AB41" s="5"/>
      <c r="AC41" s="5"/>
      <c r="AD41" s="5"/>
      <c r="AE41" s="5"/>
      <c r="AF41" s="5"/>
      <c r="AG41" s="5"/>
      <c r="AH41" s="5"/>
      <c r="AI41" s="5"/>
      <c r="AJ41" s="5"/>
      <c r="AK41" s="5"/>
      <c r="AL41" s="5"/>
      <c r="AM41" s="5"/>
    </row>
    <row r="42" customHeight="1" ht="39.0">
      <c r="A42" s="17" t="n">
        <v>44005.0</v>
      </c>
      <c r="B42" s="15" t="s">
        <v>92</v>
      </c>
      <c r="C42" s="147" t="n">
        <v>0.3611111111111111</v>
      </c>
      <c r="D42" s="154" t="n">
        <v>0.5</v>
      </c>
      <c r="E42" s="146" t="s">
        <v>425</v>
      </c>
      <c r="F42" s="155"/>
      <c r="G42" s="155"/>
      <c r="H42" s="155"/>
      <c r="I42" s="156" t="n">
        <v>0.3541666666666667</v>
      </c>
      <c r="J42" s="156" t="n">
        <v>0.4930555555555556</v>
      </c>
      <c r="K42" s="15"/>
      <c r="L42" s="101" t="n">
        <v>0.3541666666666667</v>
      </c>
      <c r="M42" s="93" t="n">
        <v>0.9583333333333334</v>
      </c>
      <c r="N42" s="12" t="s">
        <v>420</v>
      </c>
      <c r="O42" s="152" t="s">
        <v>412</v>
      </c>
      <c r="P42" s="151" t="n">
        <v>0.46597222222222223</v>
      </c>
      <c r="R42" s="151" t="n">
        <v>0.2951388888888889</v>
      </c>
      <c r="S42" s="151" t="n">
        <v>0.4756944444444444</v>
      </c>
      <c r="T42" s="152" t="s">
        <v>420</v>
      </c>
      <c r="U42" s="95" t="n">
        <v>0.2708333333333333</v>
      </c>
      <c r="V42" s="157" t="s">
        <v>504</v>
      </c>
      <c r="W42" s="153" t="s">
        <v>420</v>
      </c>
      <c r="X42" s="5"/>
      <c r="Y42" s="5"/>
      <c r="Z42" s="5"/>
      <c r="AA42" s="5"/>
      <c r="AB42" s="5"/>
      <c r="AC42" s="5"/>
      <c r="AD42" s="5"/>
      <c r="AE42" s="5"/>
      <c r="AF42" s="5"/>
      <c r="AG42" s="5"/>
      <c r="AH42" s="5"/>
      <c r="AI42" s="5"/>
      <c r="AJ42" s="5"/>
      <c r="AK42" s="5"/>
      <c r="AL42" s="5"/>
      <c r="AM42" s="5"/>
    </row>
    <row r="43" customHeight="1" ht="52.0">
      <c r="A43" s="17" t="n">
        <v>44006.0</v>
      </c>
      <c r="B43" s="5" t="s">
        <v>94</v>
      </c>
      <c r="C43" s="143" t="n">
        <v>0.34652777777777777</v>
      </c>
      <c r="D43" s="143" t="n">
        <v>0.4583333333333333</v>
      </c>
      <c r="E43" s="146" t="s">
        <v>425</v>
      </c>
      <c r="F43" s="155"/>
      <c r="G43" s="155"/>
      <c r="H43" s="155"/>
      <c r="I43" s="156" t="n">
        <v>0.3541666666666667</v>
      </c>
      <c r="J43" s="148" t="n">
        <v>0.004861111111111111</v>
      </c>
      <c r="K43" s="15"/>
      <c r="L43" s="101" t="n">
        <v>0.3506944444444444</v>
      </c>
      <c r="M43" s="155" t="s">
        <v>505</v>
      </c>
      <c r="N43" s="12" t="s">
        <v>420</v>
      </c>
      <c r="O43" s="151" t="n">
        <v>0.3</v>
      </c>
      <c r="P43" s="158" t="n">
        <v>0.08333333333333333</v>
      </c>
      <c r="R43" s="151" t="n">
        <v>0.2986111111111111</v>
      </c>
      <c r="S43" s="151" t="n">
        <v>0.4861111111111111</v>
      </c>
      <c r="T43" s="2" t="s">
        <v>506</v>
      </c>
      <c r="U43" s="96" t="n">
        <v>0.27361111111111114</v>
      </c>
      <c r="V43" s="95" t="n">
        <v>0.4583333333333333</v>
      </c>
      <c r="W43" s="153" t="s">
        <v>118</v>
      </c>
      <c r="X43" s="5"/>
      <c r="Y43" s="5"/>
      <c r="Z43" s="5"/>
      <c r="AA43" s="5"/>
      <c r="AB43" s="5"/>
      <c r="AC43" s="5"/>
      <c r="AD43" s="5"/>
      <c r="AE43" s="5"/>
      <c r="AF43" s="5"/>
      <c r="AG43" s="5"/>
      <c r="AH43" s="5"/>
      <c r="AI43" s="5"/>
      <c r="AJ43" s="5"/>
      <c r="AK43" s="5"/>
      <c r="AL43" s="5"/>
      <c r="AM43" s="5"/>
    </row>
    <row r="44" customHeight="1" ht="52.0">
      <c r="A44" s="17" t="n">
        <v>44007.0</v>
      </c>
      <c r="B44" s="5" t="s">
        <v>96</v>
      </c>
      <c r="C44" s="147" t="n">
        <v>0.375</v>
      </c>
      <c r="D44" s="143" t="n">
        <v>0.47708333333333336</v>
      </c>
      <c r="E44" s="146" t="s">
        <v>417</v>
      </c>
      <c r="F44" s="155"/>
      <c r="G44" s="155"/>
      <c r="H44" s="155"/>
      <c r="I44" s="148" t="n">
        <v>0.3784722222222222</v>
      </c>
      <c r="J44" s="156" t="n">
        <v>0.4930555555555556</v>
      </c>
      <c r="K44" s="15"/>
      <c r="L44" s="101" t="n">
        <v>0.3541666666666667</v>
      </c>
      <c r="M44" s="93" t="n">
        <v>0.9444444444444444</v>
      </c>
      <c r="N44" s="12" t="s">
        <v>420</v>
      </c>
      <c r="O44" s="158" t="n">
        <v>0.4166666666666667</v>
      </c>
      <c r="P44" s="151" t="n">
        <v>0.4722222222222222</v>
      </c>
      <c r="R44" s="151" t="n">
        <v>0.28194444444444444</v>
      </c>
      <c r="S44" s="151" t="n">
        <v>0.4722222222222222</v>
      </c>
      <c r="T44" s="152" t="s">
        <v>507</v>
      </c>
      <c r="U44" s="95" t="n">
        <v>0.2708333333333333</v>
      </c>
      <c r="V44" s="95" t="n">
        <v>0.4583333333333333</v>
      </c>
      <c r="W44" s="153" t="s">
        <v>118</v>
      </c>
      <c r="X44" s="5"/>
      <c r="Y44" s="5"/>
      <c r="Z44" s="5"/>
      <c r="AA44" s="5"/>
      <c r="AB44" s="5"/>
      <c r="AC44" s="5"/>
      <c r="AD44" s="5"/>
      <c r="AE44" s="5"/>
      <c r="AF44" s="5"/>
      <c r="AG44" s="5"/>
      <c r="AH44" s="5"/>
      <c r="AI44" s="5"/>
      <c r="AJ44" s="5"/>
      <c r="AK44" s="5"/>
      <c r="AL44" s="5"/>
      <c r="AM44" s="5"/>
    </row>
    <row r="45" customHeight="1" ht="52.0">
      <c r="A45" s="17" t="n">
        <v>44008.0</v>
      </c>
      <c r="B45" s="5" t="s">
        <v>98</v>
      </c>
      <c r="C45" s="143" t="n">
        <v>0.34652777777777777</v>
      </c>
      <c r="D45" s="143" t="n">
        <v>0.4583333333333333</v>
      </c>
      <c r="E45" s="146" t="s">
        <v>425</v>
      </c>
      <c r="F45" s="155"/>
      <c r="G45" s="155"/>
      <c r="H45" s="155"/>
      <c r="I45" s="156" t="n">
        <v>0.3506944444444444</v>
      </c>
      <c r="J45" s="148" t="n">
        <v>6.944444444444445E-4</v>
      </c>
      <c r="K45" s="15"/>
      <c r="L45" s="95" t="n">
        <v>0.2708333333333333</v>
      </c>
      <c r="M45" s="101" t="n">
        <v>0.9736111111111111</v>
      </c>
      <c r="N45" s="12" t="s">
        <v>420</v>
      </c>
      <c r="O45" s="152" t="s">
        <v>508</v>
      </c>
      <c r="P45" s="151" t="n">
        <v>0.4722222222222222</v>
      </c>
      <c r="R45" s="151" t="n">
        <v>0.2951388888888889</v>
      </c>
      <c r="S45" s="158" t="n">
        <v>0.0625</v>
      </c>
      <c r="T45" s="2" t="s">
        <v>506</v>
      </c>
      <c r="U45" s="96" t="n">
        <v>0.2916666666666667</v>
      </c>
      <c r="V45" s="95" t="n">
        <v>0.4375</v>
      </c>
      <c r="W45" s="153" t="s">
        <v>420</v>
      </c>
      <c r="X45" s="5"/>
      <c r="Y45" s="5"/>
      <c r="Z45" s="5"/>
      <c r="AA45" s="5"/>
      <c r="AB45" s="5"/>
      <c r="AC45" s="5"/>
      <c r="AD45" s="5"/>
      <c r="AE45" s="5"/>
      <c r="AF45" s="5"/>
      <c r="AG45" s="5"/>
      <c r="AH45" s="5"/>
      <c r="AI45" s="5"/>
      <c r="AJ45" s="5"/>
      <c r="AK45" s="5"/>
      <c r="AL45" s="5"/>
      <c r="AM45" s="5"/>
    </row>
    <row r="46" customHeight="1" ht="52.0">
      <c r="A46" s="17" t="n">
        <v>44009.0</v>
      </c>
      <c r="B46" s="5" t="s">
        <v>100</v>
      </c>
      <c r="C46" s="143" t="n">
        <v>0.30486111111111114</v>
      </c>
      <c r="D46" s="143" t="n">
        <v>0.4583333333333333</v>
      </c>
      <c r="E46" s="155" t="s">
        <v>481</v>
      </c>
      <c r="F46" s="155"/>
      <c r="G46" s="155"/>
      <c r="H46" s="155"/>
      <c r="I46" s="159" t="n">
        <v>0.3472222222222222</v>
      </c>
      <c r="J46" s="159" t="n">
        <v>0.46875</v>
      </c>
      <c r="K46" s="15"/>
      <c r="L46" s="101" t="n">
        <v>0.4027777777777778</v>
      </c>
      <c r="M46" s="101" t="n">
        <v>0.9840277777777777</v>
      </c>
      <c r="N46" s="12" t="s">
        <v>420</v>
      </c>
      <c r="O46" s="158" t="n">
        <v>0.3958333333333333</v>
      </c>
      <c r="P46" s="158" t="n">
        <v>0.09513888888888888</v>
      </c>
      <c r="R46" s="151" t="n">
        <v>0.31805555555555554</v>
      </c>
      <c r="S46" s="151" t="n">
        <v>0.4986111111111111</v>
      </c>
      <c r="T46" s="2" t="s">
        <v>425</v>
      </c>
      <c r="U46" s="95" t="n">
        <v>0.24305555555555555</v>
      </c>
      <c r="V46" s="95" t="n">
        <v>0.4444444444444444</v>
      </c>
      <c r="W46" s="153" t="s">
        <v>118</v>
      </c>
      <c r="X46" s="5"/>
      <c r="Y46" s="5"/>
      <c r="Z46" s="5"/>
      <c r="AA46" s="5"/>
      <c r="AB46" s="5"/>
      <c r="AC46" s="5"/>
      <c r="AD46" s="5"/>
      <c r="AE46" s="5"/>
      <c r="AF46" s="5"/>
      <c r="AG46" s="5"/>
      <c r="AH46" s="5"/>
      <c r="AI46" s="5"/>
      <c r="AJ46" s="5"/>
      <c r="AK46" s="5"/>
      <c r="AL46" s="5"/>
      <c r="AM46" s="5"/>
    </row>
    <row r="47" customHeight="1" ht="39.0">
      <c r="A47" s="17" t="n">
        <v>44010.0</v>
      </c>
      <c r="B47" s="5" t="s">
        <v>101</v>
      </c>
      <c r="C47" s="143" t="n">
        <v>0.3416666666666667</v>
      </c>
      <c r="D47" s="147" t="n">
        <v>0.125</v>
      </c>
      <c r="E47" s="146" t="s">
        <v>425</v>
      </c>
      <c r="F47" s="155"/>
      <c r="G47" s="155"/>
      <c r="H47" s="155"/>
      <c r="I47" s="159" t="n">
        <v>0.3541666666666667</v>
      </c>
      <c r="J47" s="159" t="n">
        <v>0.4791666666666667</v>
      </c>
      <c r="K47" s="15"/>
      <c r="L47" s="101" t="n">
        <v>0.4027777777777778</v>
      </c>
      <c r="M47" s="93" t="n">
        <v>0.9444444444444444</v>
      </c>
      <c r="N47" s="5"/>
      <c r="O47" s="160" t="s">
        <v>509</v>
      </c>
      <c r="P47" s="151" t="n">
        <v>0.45208333333333334</v>
      </c>
      <c r="R47" s="151" t="n">
        <v>0.3090277777777778</v>
      </c>
      <c r="U47" s="95" t="n">
        <v>0.2708333333333333</v>
      </c>
      <c r="V47" s="95" t="n">
        <v>0.4583333333333333</v>
      </c>
      <c r="W47" s="153" t="s">
        <v>118</v>
      </c>
      <c r="X47" s="5"/>
      <c r="Y47" s="5"/>
      <c r="Z47" s="5"/>
      <c r="AA47" s="5"/>
      <c r="AB47" s="5"/>
      <c r="AC47" s="5"/>
      <c r="AD47" s="5"/>
      <c r="AE47" s="5"/>
      <c r="AF47" s="5"/>
      <c r="AG47" s="5"/>
      <c r="AH47" s="5"/>
      <c r="AI47" s="5"/>
      <c r="AJ47" s="5"/>
      <c r="AK47" s="5"/>
      <c r="AL47" s="5"/>
      <c r="AM47" s="5"/>
    </row>
    <row r="48" customHeight="1" ht="39.0">
      <c r="A48" s="4"/>
      <c r="B48" s="5"/>
      <c r="C48" s="60" t="s">
        <v>114</v>
      </c>
      <c r="D48" s="60"/>
      <c r="E48" s="60"/>
      <c r="F48" s="138" t="s">
        <v>266</v>
      </c>
      <c r="G48" s="138"/>
      <c r="H48" s="138"/>
      <c r="I48" s="138" t="s">
        <v>266</v>
      </c>
      <c r="J48" s="138"/>
      <c r="K48" s="138"/>
      <c r="L48" s="138" t="s">
        <v>266</v>
      </c>
      <c r="M48" s="138"/>
      <c r="N48" s="5" t="s">
        <v>510</v>
      </c>
      <c r="O48" s="138" t="s">
        <v>266</v>
      </c>
      <c r="P48" s="138"/>
      <c r="Q48" s="138"/>
      <c r="R48" s="60" t="s">
        <v>114</v>
      </c>
      <c r="S48" s="60"/>
      <c r="T48" s="60"/>
      <c r="U48" s="60" t="s">
        <v>114</v>
      </c>
      <c r="V48" s="60"/>
      <c r="W48" s="60"/>
      <c r="X48" s="5"/>
      <c r="Y48" s="5"/>
      <c r="Z48" s="5"/>
      <c r="AA48" s="5"/>
      <c r="AB48" s="5"/>
      <c r="AC48" s="5"/>
      <c r="AD48" s="5"/>
      <c r="AE48" s="5"/>
      <c r="AF48" s="5"/>
      <c r="AG48" s="5"/>
      <c r="AH48" s="5"/>
      <c r="AI48" s="5"/>
      <c r="AJ48" s="5"/>
      <c r="AK48" s="5"/>
      <c r="AL48" s="5"/>
      <c r="AM48" s="5"/>
    </row>
    <row r="49" customHeight="1" ht="39.0">
      <c r="A49" s="17" t="n">
        <v>44011.0</v>
      </c>
      <c r="B49" s="5" t="s">
        <v>90</v>
      </c>
      <c r="C49" s="147" t="n">
        <v>0.4375</v>
      </c>
      <c r="D49" s="58" t="s">
        <v>511</v>
      </c>
      <c r="E49" s="146" t="s">
        <v>425</v>
      </c>
      <c r="F49" s="146" t="s">
        <v>512</v>
      </c>
      <c r="G49" s="146" t="s">
        <v>513</v>
      </c>
      <c r="H49" s="15"/>
      <c r="I49" s="156" t="n">
        <v>0.3333333333333333</v>
      </c>
      <c r="J49" s="156" t="n">
        <v>0.4791666666666667</v>
      </c>
      <c r="K49" s="15"/>
      <c r="L49" s="155"/>
      <c r="M49" s="155"/>
      <c r="N49" s="155"/>
      <c r="O49" s="86" t="n">
        <v>0.3541666666666667</v>
      </c>
      <c r="P49" s="151" t="n">
        <v>0.4722222222222222</v>
      </c>
      <c r="R49" s="149"/>
      <c r="S49" s="149"/>
      <c r="T49" s="149"/>
      <c r="U49" s="93" t="n">
        <v>0.2708333333333333</v>
      </c>
      <c r="V49" s="95" t="n">
        <v>0.4513888888888889</v>
      </c>
      <c r="W49" s="157" t="s">
        <v>468</v>
      </c>
      <c r="X49" s="5"/>
      <c r="Y49" s="5"/>
      <c r="Z49" s="5"/>
      <c r="AA49" s="5"/>
      <c r="AB49" s="5"/>
      <c r="AC49" s="5"/>
      <c r="AD49" s="5"/>
      <c r="AE49" s="5"/>
      <c r="AF49" s="5"/>
      <c r="AG49" s="5"/>
      <c r="AH49" s="5"/>
      <c r="AI49" s="5"/>
      <c r="AJ49" s="5"/>
      <c r="AK49" s="5"/>
      <c r="AL49" s="5"/>
      <c r="AM49" s="5"/>
    </row>
    <row r="50" customHeight="1" ht="39.0">
      <c r="A50" s="17" t="n">
        <v>44012.0</v>
      </c>
      <c r="B50" s="5" t="s">
        <v>92</v>
      </c>
      <c r="C50" s="58" t="s">
        <v>514</v>
      </c>
      <c r="D50" s="58" t="s">
        <v>424</v>
      </c>
      <c r="E50" s="146" t="s">
        <v>425</v>
      </c>
      <c r="F50" s="146" t="s">
        <v>515</v>
      </c>
      <c r="G50" s="155" t="s">
        <v>516</v>
      </c>
      <c r="H50" s="15"/>
      <c r="I50" s="156" t="n">
        <v>0.34375</v>
      </c>
      <c r="J50" s="156" t="n">
        <v>0.4895833333333333</v>
      </c>
      <c r="K50" s="15"/>
      <c r="L50" s="118" t="n">
        <v>0.3506944444444444</v>
      </c>
      <c r="M50" s="101" t="n">
        <v>0.9631944444444445</v>
      </c>
      <c r="N50" s="12" t="s">
        <v>420</v>
      </c>
      <c r="O50" s="151" t="n">
        <v>0.33055555555555555</v>
      </c>
      <c r="P50" s="158" t="n">
        <v>0.5034722222222222</v>
      </c>
      <c r="R50" s="149"/>
      <c r="S50" s="149"/>
      <c r="T50" s="149"/>
      <c r="U50" s="95" t="n">
        <v>0.2708333333333333</v>
      </c>
      <c r="V50" s="95" t="n">
        <v>0.4479166666666667</v>
      </c>
      <c r="W50" s="157" t="s">
        <v>425</v>
      </c>
      <c r="X50" s="13" t="s">
        <v>517</v>
      </c>
      <c r="Y50" s="13" t="s">
        <v>427</v>
      </c>
      <c r="Z50" s="12" t="s">
        <v>425</v>
      </c>
      <c r="AA50" s="12"/>
      <c r="AB50" s="12"/>
      <c r="AC50" s="12"/>
      <c r="AD50" s="12"/>
      <c r="AE50" s="12"/>
      <c r="AF50" s="12"/>
      <c r="AG50" s="12"/>
      <c r="AH50" s="12"/>
      <c r="AI50" s="12"/>
      <c r="AJ50" s="12"/>
      <c r="AK50" s="12"/>
      <c r="AL50" s="12"/>
      <c r="AM50" s="12"/>
    </row>
    <row r="51" customHeight="1" ht="52.0">
      <c r="A51" s="17" t="n">
        <v>44013.0</v>
      </c>
      <c r="B51" s="5" t="s">
        <v>94</v>
      </c>
      <c r="C51" s="143" t="n">
        <v>0.3402777777777778</v>
      </c>
      <c r="D51" s="143" t="n">
        <v>0.4791666666666667</v>
      </c>
      <c r="E51" s="146" t="s">
        <v>425</v>
      </c>
      <c r="F51" s="146" t="s">
        <v>423</v>
      </c>
      <c r="G51" s="15"/>
      <c r="H51" s="15"/>
      <c r="I51" s="156" t="n">
        <v>0.3402777777777778</v>
      </c>
      <c r="J51" s="148" t="n">
        <v>0.020833333333333332</v>
      </c>
      <c r="K51" s="15"/>
      <c r="L51" s="161" t="n">
        <v>0.3472222222222222</v>
      </c>
      <c r="M51" s="108" t="n">
        <v>0.004861111111111111</v>
      </c>
      <c r="N51" s="12" t="s">
        <v>420</v>
      </c>
      <c r="O51" s="151" t="n">
        <v>0.3298611111111111</v>
      </c>
      <c r="P51" s="158" t="n">
        <v>0.1875</v>
      </c>
      <c r="R51" s="149"/>
      <c r="S51" s="149"/>
      <c r="T51" s="149"/>
      <c r="U51" s="95" t="n">
        <v>0.2708333333333333</v>
      </c>
      <c r="V51" s="95" t="n">
        <v>0.4479166666666667</v>
      </c>
      <c r="W51" s="153" t="s">
        <v>420</v>
      </c>
      <c r="X51" s="162" t="s">
        <v>518</v>
      </c>
      <c r="Y51" s="162" t="s">
        <v>427</v>
      </c>
      <c r="Z51" s="5"/>
      <c r="AA51" s="5"/>
      <c r="AB51" s="5"/>
      <c r="AC51" s="5"/>
      <c r="AD51" s="5"/>
      <c r="AE51" s="5"/>
      <c r="AF51" s="5"/>
      <c r="AG51" s="5"/>
      <c r="AH51" s="5"/>
      <c r="AI51" s="5"/>
      <c r="AJ51" s="5"/>
      <c r="AK51" s="5"/>
      <c r="AL51" s="5"/>
      <c r="AM51" s="5"/>
    </row>
    <row r="52" customHeight="1" ht="52.0">
      <c r="A52" s="17" t="n">
        <v>44014.0</v>
      </c>
      <c r="B52" s="5" t="s">
        <v>96</v>
      </c>
      <c r="C52" s="143" t="n">
        <v>0.3541666666666667</v>
      </c>
      <c r="D52" s="143" t="n">
        <v>0.4791666666666667</v>
      </c>
      <c r="E52" s="146" t="s">
        <v>425</v>
      </c>
      <c r="F52" s="155"/>
      <c r="G52" s="155"/>
      <c r="H52" s="155"/>
      <c r="I52" s="156" t="n">
        <v>0.3472222222222222</v>
      </c>
      <c r="J52" s="148" t="n">
        <v>0.041666666666666664</v>
      </c>
      <c r="K52" s="15"/>
      <c r="L52" s="163" t="n">
        <v>0.3680555555555556</v>
      </c>
      <c r="M52" s="109" t="n">
        <v>0.9493055555555555</v>
      </c>
      <c r="N52" s="12" t="s">
        <v>420</v>
      </c>
      <c r="O52" s="158" t="n">
        <v>0.47638888888888886</v>
      </c>
      <c r="P52" s="151" t="n">
        <v>0.4791666666666667</v>
      </c>
      <c r="R52" s="149"/>
      <c r="S52" s="149"/>
      <c r="T52" s="149"/>
      <c r="U52" s="95" t="n">
        <v>0.2708333333333333</v>
      </c>
      <c r="V52" s="96" t="n">
        <v>0.5</v>
      </c>
      <c r="W52" s="157" t="s">
        <v>425</v>
      </c>
      <c r="X52" s="162" t="s">
        <v>519</v>
      </c>
      <c r="Y52" s="162" t="s">
        <v>427</v>
      </c>
      <c r="Z52" s="5"/>
      <c r="AA52" s="5"/>
      <c r="AB52" s="5"/>
      <c r="AC52" s="5"/>
      <c r="AD52" s="5"/>
      <c r="AE52" s="5"/>
      <c r="AF52" s="5"/>
      <c r="AG52" s="5"/>
      <c r="AH52" s="5"/>
      <c r="AI52" s="5"/>
      <c r="AJ52" s="5"/>
      <c r="AK52" s="5"/>
      <c r="AL52" s="5"/>
      <c r="AM52" s="5"/>
    </row>
    <row r="53" customHeight="1" ht="52.0">
      <c r="A53" s="17" t="n">
        <v>44015.0</v>
      </c>
      <c r="B53" s="5" t="s">
        <v>98</v>
      </c>
      <c r="C53" s="143" t="n">
        <v>0.3541666666666667</v>
      </c>
      <c r="D53" s="143" t="n">
        <v>0.4722222222222222</v>
      </c>
      <c r="E53" s="155" t="s">
        <v>481</v>
      </c>
      <c r="F53" s="155"/>
      <c r="G53" s="155"/>
      <c r="H53" s="155"/>
      <c r="I53" s="156" t="n">
        <v>0.3541666666666667</v>
      </c>
      <c r="J53" s="148" t="n">
        <v>0.020833333333333332</v>
      </c>
      <c r="K53" s="15"/>
      <c r="L53" s="50" t="s">
        <v>514</v>
      </c>
      <c r="M53" s="101" t="n">
        <v>0.975</v>
      </c>
      <c r="N53" s="15"/>
      <c r="O53" s="158" t="n">
        <v>0.4375</v>
      </c>
      <c r="P53" s="158" t="n">
        <v>0.06875</v>
      </c>
      <c r="R53" s="149"/>
      <c r="S53" s="149"/>
      <c r="T53" s="149"/>
      <c r="U53" s="95" t="n">
        <v>0.2388888888888889</v>
      </c>
      <c r="V53" s="95" t="n">
        <v>0.4583333333333333</v>
      </c>
      <c r="W53" s="5"/>
      <c r="X53" s="12" t="s">
        <v>520</v>
      </c>
      <c r="Y53" s="13" t="s">
        <v>521</v>
      </c>
      <c r="Z53" s="5"/>
      <c r="AA53" s="5"/>
      <c r="AB53" s="5"/>
      <c r="AC53" s="5"/>
      <c r="AD53" s="5"/>
      <c r="AE53" s="5"/>
      <c r="AF53" s="5"/>
      <c r="AG53" s="5"/>
      <c r="AH53" s="5"/>
      <c r="AI53" s="5"/>
      <c r="AJ53" s="5"/>
      <c r="AK53" s="5"/>
      <c r="AL53" s="5"/>
      <c r="AM53" s="5"/>
    </row>
    <row r="54" customHeight="1" ht="39.0">
      <c r="A54" s="17" t="n">
        <v>44016.0</v>
      </c>
      <c r="B54" s="5" t="s">
        <v>100</v>
      </c>
      <c r="C54" s="143" t="n">
        <v>0.3416666666666667</v>
      </c>
      <c r="D54" s="143" t="n">
        <v>0.4791666666666667</v>
      </c>
      <c r="E54" s="15" t="s">
        <v>420</v>
      </c>
      <c r="F54" s="155"/>
      <c r="G54" s="155"/>
      <c r="H54" s="155"/>
      <c r="I54" s="148" t="n">
        <v>0.375</v>
      </c>
      <c r="J54" s="156" t="n">
        <v>0.4722222222222222</v>
      </c>
      <c r="K54" s="15"/>
      <c r="L54" s="50" t="s">
        <v>514</v>
      </c>
      <c r="M54" s="101" t="n">
        <v>0.9819444444444444</v>
      </c>
      <c r="N54" s="15"/>
      <c r="O54" s="158" t="n">
        <v>0.3368055555555556</v>
      </c>
      <c r="P54" s="151" t="n">
        <v>0.4756944444444444</v>
      </c>
      <c r="R54" s="149"/>
      <c r="S54" s="149"/>
      <c r="T54" s="149"/>
      <c r="U54" s="95" t="n">
        <v>0.25</v>
      </c>
      <c r="V54" s="95" t="n">
        <v>0.4097222222222222</v>
      </c>
      <c r="W54" s="153" t="s">
        <v>420</v>
      </c>
      <c r="X54" s="13" t="s">
        <v>518</v>
      </c>
      <c r="Y54" s="13" t="s">
        <v>427</v>
      </c>
      <c r="Z54" s="5"/>
      <c r="AA54" s="5"/>
      <c r="AB54" s="5"/>
      <c r="AC54" s="5"/>
      <c r="AD54" s="5"/>
      <c r="AE54" s="5"/>
      <c r="AF54" s="5"/>
      <c r="AG54" s="5"/>
      <c r="AH54" s="5"/>
      <c r="AI54" s="5"/>
      <c r="AJ54" s="5"/>
      <c r="AK54" s="5"/>
      <c r="AL54" s="5"/>
      <c r="AM54" s="5"/>
    </row>
    <row r="55" customHeight="1" ht="39.0">
      <c r="A55" s="17" t="n">
        <v>44017.0</v>
      </c>
      <c r="B55" s="5" t="s">
        <v>101</v>
      </c>
      <c r="C55" s="91" t="n">
        <v>0.3472222222222222</v>
      </c>
      <c r="D55" s="91" t="n">
        <v>0.4791666666666667</v>
      </c>
      <c r="E55" s="13" t="s">
        <v>481</v>
      </c>
      <c r="F55" s="13"/>
      <c r="G55" s="13"/>
      <c r="H55" s="13"/>
      <c r="I55" s="93" t="n">
        <v>0.3527777777777778</v>
      </c>
      <c r="J55" s="93" t="n">
        <v>0.4861111111111111</v>
      </c>
      <c r="K55" s="5"/>
      <c r="L55" s="163" t="n">
        <v>0.375</v>
      </c>
      <c r="M55" s="109" t="n">
        <v>0.9493055555555555</v>
      </c>
      <c r="N55" s="12" t="s">
        <v>420</v>
      </c>
      <c r="O55" s="151" t="n">
        <v>0.32916666666666666</v>
      </c>
      <c r="P55" s="158" t="n">
        <v>0.06527777777777778</v>
      </c>
      <c r="R55" s="149"/>
      <c r="S55" s="149"/>
      <c r="T55" s="149"/>
      <c r="U55" s="95" t="n">
        <v>0.2361111111111111</v>
      </c>
      <c r="V55" s="96" t="n">
        <v>0.5277777777777778</v>
      </c>
      <c r="W55" s="153" t="s">
        <v>420</v>
      </c>
      <c r="X55" s="12" t="s">
        <v>451</v>
      </c>
      <c r="Y55" s="13" t="s">
        <v>427</v>
      </c>
      <c r="Z55" s="5"/>
      <c r="AA55" s="5"/>
      <c r="AB55" s="5"/>
      <c r="AC55" s="5"/>
      <c r="AD55" s="5"/>
      <c r="AE55" s="5"/>
      <c r="AF55" s="5"/>
      <c r="AG55" s="5"/>
      <c r="AH55" s="5"/>
      <c r="AI55" s="5"/>
      <c r="AJ55" s="5"/>
      <c r="AK55" s="5"/>
      <c r="AL55" s="5"/>
      <c r="AM55" s="5"/>
    </row>
    <row r="56" customHeight="1" ht="65.0">
      <c r="A56" s="2"/>
      <c r="B56" s="5"/>
      <c r="C56" s="60"/>
      <c r="D56" s="60"/>
      <c r="E56" s="60"/>
      <c r="F56" s="164" t="s">
        <v>522</v>
      </c>
      <c r="G56" s="164"/>
      <c r="H56" s="164"/>
      <c r="I56" s="164" t="s">
        <v>523</v>
      </c>
      <c r="J56" s="164"/>
      <c r="K56" s="164"/>
      <c r="L56" s="5"/>
      <c r="M56" s="5" t="s">
        <v>524</v>
      </c>
      <c r="N56" s="5" t="s">
        <v>525</v>
      </c>
      <c r="O56" s="15" t="s">
        <v>526</v>
      </c>
      <c r="P56" s="15"/>
      <c r="Q56" s="15"/>
      <c r="R56" s="2" t="s">
        <v>527</v>
      </c>
      <c r="U56" s="15" t="s">
        <v>528</v>
      </c>
      <c r="V56" s="15"/>
      <c r="W56" s="15"/>
      <c r="X56" s="5" t="s">
        <v>529</v>
      </c>
      <c r="Y56" s="5"/>
      <c r="Z56" s="5"/>
      <c r="AA56" s="5"/>
      <c r="AB56" s="5"/>
      <c r="AC56" s="5"/>
      <c r="AD56" s="5"/>
      <c r="AE56" s="5"/>
      <c r="AF56" s="5"/>
      <c r="AG56" s="5"/>
      <c r="AH56" s="5"/>
      <c r="AI56" s="5"/>
      <c r="AJ56" s="5"/>
      <c r="AK56" s="5"/>
      <c r="AL56" s="5"/>
      <c r="AM56" s="5"/>
    </row>
    <row r="57">
      <c r="A57" s="2"/>
      <c r="B57" s="5"/>
      <c r="C57" s="60" t="s">
        <v>114</v>
      </c>
      <c r="D57" s="60"/>
      <c r="E57" s="60"/>
      <c r="F57" s="138" t="s">
        <v>266</v>
      </c>
      <c r="G57" s="138"/>
      <c r="H57" s="138"/>
      <c r="I57" s="138" t="s">
        <v>266</v>
      </c>
      <c r="J57" s="138"/>
      <c r="K57" s="138"/>
      <c r="L57" s="138" t="s">
        <v>266</v>
      </c>
      <c r="M57" s="138"/>
      <c r="N57" s="138"/>
      <c r="O57" s="165" t="s">
        <v>266</v>
      </c>
      <c r="P57" s="138"/>
      <c r="Q57" s="138"/>
      <c r="R57" s="138" t="s">
        <v>266</v>
      </c>
      <c r="S57" s="138"/>
      <c r="T57" s="138"/>
      <c r="U57" s="60" t="s">
        <v>114</v>
      </c>
      <c r="V57" s="60"/>
      <c r="W57" s="60"/>
      <c r="X57" s="138" t="s">
        <v>266</v>
      </c>
      <c r="Y57" s="138"/>
      <c r="Z57" s="138"/>
      <c r="AA57" s="138"/>
      <c r="AB57" s="138"/>
      <c r="AC57" s="138"/>
      <c r="AD57" s="138"/>
      <c r="AE57" s="138"/>
      <c r="AF57" s="138"/>
      <c r="AG57" s="138"/>
      <c r="AH57" s="138"/>
      <c r="AI57" s="138"/>
      <c r="AJ57" s="138"/>
      <c r="AK57" s="138"/>
      <c r="AL57" s="138"/>
      <c r="AM57" s="138"/>
    </row>
    <row r="58" customHeight="1" ht="52.0">
      <c r="A58" s="17" t="n">
        <v>44018.0</v>
      </c>
      <c r="B58" s="5" t="s">
        <v>90</v>
      </c>
      <c r="C58" s="99" t="n">
        <v>0.3680555555555556</v>
      </c>
      <c r="D58" s="91" t="n">
        <v>0.4722222222222222</v>
      </c>
      <c r="E58" s="12" t="s">
        <v>425</v>
      </c>
      <c r="F58" s="12" t="s">
        <v>530</v>
      </c>
      <c r="G58" s="13" t="s">
        <v>531</v>
      </c>
      <c r="H58" s="12" t="s">
        <v>425</v>
      </c>
      <c r="I58" s="93" t="n">
        <v>0.3472222222222222</v>
      </c>
      <c r="J58" s="93" t="n">
        <v>0.4895833333333333</v>
      </c>
      <c r="K58" s="5"/>
      <c r="L58" s="166" t="s">
        <v>532</v>
      </c>
      <c r="M58" s="93" t="n">
        <v>0.9722222222222222</v>
      </c>
      <c r="N58" s="12" t="s">
        <v>420</v>
      </c>
      <c r="O58" s="158" t="n">
        <v>0.4722222222222222</v>
      </c>
      <c r="P58" s="151" t="n">
        <v>0.47638888888888886</v>
      </c>
      <c r="U58" s="95" t="n">
        <v>0.2847222222222222</v>
      </c>
      <c r="V58" s="95" t="n">
        <v>0.4791666666666667</v>
      </c>
      <c r="W58" s="5" t="s">
        <v>425</v>
      </c>
      <c r="X58" s="5"/>
      <c r="Y58" s="5"/>
      <c r="Z58" s="5"/>
      <c r="AA58" s="5"/>
      <c r="AB58" s="5"/>
      <c r="AC58" s="5"/>
      <c r="AD58" s="5"/>
      <c r="AE58" s="5"/>
      <c r="AF58" s="5"/>
      <c r="AG58" s="5"/>
      <c r="AH58" s="5"/>
      <c r="AI58" s="5"/>
      <c r="AJ58" s="5"/>
      <c r="AK58" s="5"/>
      <c r="AL58" s="5"/>
      <c r="AM58" s="5"/>
    </row>
    <row r="59" customHeight="1" ht="39.0">
      <c r="A59" s="17" t="n">
        <v>44019.0</v>
      </c>
      <c r="B59" s="5" t="s">
        <v>92</v>
      </c>
      <c r="C59" s="143" t="n">
        <v>0.3402777777777778</v>
      </c>
      <c r="D59" s="143" t="n">
        <v>0.46875</v>
      </c>
      <c r="E59" s="146" t="s">
        <v>425</v>
      </c>
      <c r="F59" s="146" t="s">
        <v>533</v>
      </c>
      <c r="G59" s="167" t="s">
        <v>430</v>
      </c>
      <c r="H59" s="15"/>
      <c r="I59" s="156" t="n">
        <v>0.3402777777777778</v>
      </c>
      <c r="J59" s="156" t="n">
        <v>0.4791666666666667</v>
      </c>
      <c r="K59" s="15" t="s">
        <v>420</v>
      </c>
      <c r="L59" s="95" t="n">
        <v>0.2881944444444444</v>
      </c>
      <c r="M59" s="93" t="n">
        <v>0.9652777777777778</v>
      </c>
      <c r="N59" s="15"/>
      <c r="O59" s="151" t="n">
        <v>0.3125</v>
      </c>
      <c r="P59" s="158" t="n">
        <v>0.06875</v>
      </c>
      <c r="U59" s="95" t="n">
        <v>0.2847222222222222</v>
      </c>
      <c r="V59" s="96" t="n">
        <v>0.5159722222222223</v>
      </c>
      <c r="W59" s="5" t="s">
        <v>477</v>
      </c>
      <c r="X59" s="5"/>
      <c r="Y59" s="5"/>
      <c r="Z59" s="5"/>
      <c r="AA59" s="5"/>
      <c r="AB59" s="5"/>
      <c r="AC59" s="5"/>
      <c r="AD59" s="5"/>
      <c r="AE59" s="5"/>
      <c r="AF59" s="5"/>
      <c r="AG59" s="5"/>
      <c r="AH59" s="5"/>
      <c r="AI59" s="5"/>
      <c r="AJ59" s="5"/>
      <c r="AK59" s="5"/>
      <c r="AL59" s="5"/>
      <c r="AM59" s="5"/>
    </row>
    <row r="60" customHeight="1" ht="39.0">
      <c r="A60" s="17" t="n">
        <v>44020.0</v>
      </c>
      <c r="B60" s="5" t="s">
        <v>94</v>
      </c>
      <c r="C60" s="143" t="n">
        <v>0.33819444444444446</v>
      </c>
      <c r="D60" s="143" t="n">
        <v>0.4791666666666667</v>
      </c>
      <c r="E60" s="146" t="s">
        <v>425</v>
      </c>
      <c r="F60" s="146" t="s">
        <v>533</v>
      </c>
      <c r="G60" s="167" t="s">
        <v>534</v>
      </c>
      <c r="H60" s="15"/>
      <c r="I60" s="156" t="n">
        <v>0.3333333333333333</v>
      </c>
      <c r="J60" s="156" t="n">
        <v>0.46875</v>
      </c>
      <c r="K60" s="15"/>
      <c r="L60" s="161" t="n">
        <v>0.3472222222222222</v>
      </c>
      <c r="M60" s="93" t="n">
        <v>0.9638888888888889</v>
      </c>
      <c r="N60" s="12" t="s">
        <v>425</v>
      </c>
      <c r="O60" s="158" t="n">
        <v>0.3215277777777778</v>
      </c>
      <c r="P60" s="158" t="n">
        <v>0.5208333333333334</v>
      </c>
      <c r="Q60" s="152" t="s">
        <v>477</v>
      </c>
      <c r="U60" s="96" t="n">
        <v>0.3194444444444444</v>
      </c>
      <c r="V60" s="96" t="n">
        <v>0.5208333333333334</v>
      </c>
      <c r="W60" s="5" t="s">
        <v>420</v>
      </c>
      <c r="X60" s="5"/>
      <c r="Y60" s="5"/>
      <c r="Z60" s="5"/>
      <c r="AA60" s="5"/>
      <c r="AB60" s="5"/>
      <c r="AC60" s="5"/>
      <c r="AD60" s="5"/>
      <c r="AE60" s="5"/>
      <c r="AF60" s="5"/>
      <c r="AG60" s="5"/>
      <c r="AH60" s="5"/>
      <c r="AI60" s="5"/>
      <c r="AJ60" s="5"/>
      <c r="AK60" s="5"/>
      <c r="AL60" s="5"/>
      <c r="AM60" s="5"/>
    </row>
    <row r="61" customHeight="1" ht="91.0">
      <c r="A61" s="17" t="n">
        <v>44021.0</v>
      </c>
      <c r="B61" s="5" t="s">
        <v>96</v>
      </c>
      <c r="C61" s="143" t="n">
        <v>0.3541666666666667</v>
      </c>
      <c r="D61" s="143" t="n">
        <v>0.4791666666666667</v>
      </c>
      <c r="E61" s="146" t="s">
        <v>420</v>
      </c>
      <c r="F61" s="146" t="s">
        <v>423</v>
      </c>
      <c r="G61" s="15" t="s">
        <v>535</v>
      </c>
      <c r="H61" s="15"/>
      <c r="I61" s="156" t="n">
        <v>0.3472222222222222</v>
      </c>
      <c r="J61" s="156" t="n">
        <v>0.4895833333333333</v>
      </c>
      <c r="K61" s="15"/>
      <c r="L61" s="94" t="n">
        <v>0.3194444444444444</v>
      </c>
      <c r="M61" s="93" t="n">
        <v>0.9722222222222222</v>
      </c>
      <c r="N61" s="12" t="s">
        <v>420</v>
      </c>
      <c r="O61" s="145" t="s">
        <v>536</v>
      </c>
      <c r="U61" s="95" t="n">
        <v>0.2777777777777778</v>
      </c>
      <c r="V61" s="95" t="n">
        <v>0.4583333333333333</v>
      </c>
      <c r="W61" s="5" t="s">
        <v>420</v>
      </c>
      <c r="X61" s="5"/>
      <c r="Y61" s="5"/>
      <c r="Z61" s="5"/>
      <c r="AA61" s="5"/>
      <c r="AB61" s="5"/>
      <c r="AC61" s="5"/>
      <c r="AD61" s="5"/>
      <c r="AE61" s="5"/>
      <c r="AF61" s="5"/>
      <c r="AG61" s="5"/>
      <c r="AH61" s="5"/>
      <c r="AI61" s="5"/>
      <c r="AJ61" s="5"/>
      <c r="AK61" s="5"/>
      <c r="AL61" s="5"/>
      <c r="AM61" s="5"/>
    </row>
    <row r="62" customHeight="1" ht="52.0">
      <c r="A62" s="17" t="n">
        <v>44022.0</v>
      </c>
      <c r="B62" s="5" t="s">
        <v>98</v>
      </c>
      <c r="C62" s="143" t="n">
        <v>0.3541666666666667</v>
      </c>
      <c r="D62" s="147" t="n">
        <v>0.04583333333333333</v>
      </c>
      <c r="E62" s="146" t="s">
        <v>420</v>
      </c>
      <c r="F62" s="15" t="s">
        <v>457</v>
      </c>
      <c r="G62" s="15"/>
      <c r="H62" s="15"/>
      <c r="I62" s="148" t="n">
        <v>0.3680555555555556</v>
      </c>
      <c r="J62" s="156" t="n">
        <v>0.4930555555555556</v>
      </c>
      <c r="K62" s="15"/>
      <c r="L62" s="94" t="n">
        <v>0.3298611111111111</v>
      </c>
      <c r="M62" s="93" t="n">
        <v>0.9722222222222222</v>
      </c>
      <c r="N62" s="12" t="s">
        <v>420</v>
      </c>
      <c r="U62" s="95" t="n">
        <v>0.2916666666666667</v>
      </c>
      <c r="V62" s="95" t="n">
        <v>0.4673611111111111</v>
      </c>
      <c r="W62" s="5" t="s">
        <v>425</v>
      </c>
      <c r="X62" s="5"/>
      <c r="Y62" s="5"/>
      <c r="Z62" s="5"/>
      <c r="AA62" s="5"/>
      <c r="AB62" s="5"/>
      <c r="AC62" s="5"/>
      <c r="AD62" s="5"/>
      <c r="AE62" s="5"/>
      <c r="AF62" s="5"/>
      <c r="AG62" s="5"/>
      <c r="AH62" s="5"/>
      <c r="AI62" s="5"/>
      <c r="AJ62" s="5"/>
      <c r="AK62" s="5"/>
      <c r="AL62" s="5"/>
      <c r="AM62" s="5"/>
    </row>
    <row r="63" customHeight="1" ht="39.0">
      <c r="A63" s="17" t="n">
        <v>44023.0</v>
      </c>
      <c r="B63" s="5" t="s">
        <v>100</v>
      </c>
      <c r="C63" s="143" t="n">
        <v>0.3263888888888889</v>
      </c>
      <c r="D63" s="168" t="n">
        <v>0.4722222222222222</v>
      </c>
      <c r="E63" s="169" t="s">
        <v>468</v>
      </c>
      <c r="F63" s="15"/>
      <c r="G63" s="15"/>
      <c r="H63" s="15"/>
      <c r="I63" s="156" t="n">
        <v>0.3472222222222222</v>
      </c>
      <c r="J63" s="156" t="n">
        <v>0.4930555555555556</v>
      </c>
      <c r="K63" s="15"/>
      <c r="L63" s="163" t="n">
        <v>0.3402777777777778</v>
      </c>
      <c r="M63" s="93" t="n">
        <v>0.9722222222222222</v>
      </c>
      <c r="N63" s="12" t="s">
        <v>420</v>
      </c>
      <c r="U63" s="95" t="n">
        <v>0.2916666666666667</v>
      </c>
      <c r="V63" s="96" t="n">
        <v>0.5</v>
      </c>
      <c r="W63" s="5" t="s">
        <v>425</v>
      </c>
      <c r="X63" s="5"/>
      <c r="Y63" s="5"/>
      <c r="Z63" s="5"/>
      <c r="AA63" s="5"/>
      <c r="AB63" s="5"/>
      <c r="AC63" s="5"/>
      <c r="AD63" s="5"/>
      <c r="AE63" s="5"/>
      <c r="AF63" s="5"/>
      <c r="AG63" s="5"/>
      <c r="AH63" s="5"/>
      <c r="AI63" s="5"/>
      <c r="AJ63" s="5"/>
      <c r="AK63" s="5"/>
      <c r="AL63" s="5"/>
      <c r="AM63" s="5"/>
    </row>
    <row r="64" customHeight="1" ht="52.0">
      <c r="A64" s="17" t="n">
        <v>44024.0</v>
      </c>
      <c r="B64" s="5" t="s">
        <v>101</v>
      </c>
      <c r="C64" s="168" t="n">
        <v>0.3541666666666667</v>
      </c>
      <c r="D64" s="170" t="n">
        <v>0.4791666666666667</v>
      </c>
      <c r="E64" s="15"/>
      <c r="F64" s="15"/>
      <c r="G64" s="15"/>
      <c r="H64" s="15"/>
      <c r="I64" s="156" t="n">
        <v>0.35347222222222224</v>
      </c>
      <c r="J64" s="156" t="n">
        <v>0.4930555555555556</v>
      </c>
      <c r="K64" s="15"/>
      <c r="L64" s="163" t="n">
        <v>0.33402777777777776</v>
      </c>
      <c r="M64" s="93" t="n">
        <v>0.9652777777777778</v>
      </c>
      <c r="N64" s="12" t="s">
        <v>425</v>
      </c>
      <c r="U64" s="95" t="n">
        <v>0.2916666666666667</v>
      </c>
      <c r="V64" s="96" t="n">
        <v>0.5</v>
      </c>
      <c r="W64" s="5"/>
      <c r="X64" s="5"/>
      <c r="Y64" s="5"/>
      <c r="Z64" s="5"/>
      <c r="AA64" s="5"/>
      <c r="AB64" s="5"/>
      <c r="AC64" s="5"/>
      <c r="AD64" s="5"/>
      <c r="AE64" s="5"/>
      <c r="AF64" s="5"/>
      <c r="AG64" s="5"/>
      <c r="AH64" s="5"/>
      <c r="AI64" s="5"/>
      <c r="AJ64" s="5"/>
      <c r="AK64" s="5"/>
      <c r="AL64" s="5"/>
      <c r="AM64" s="5"/>
    </row>
    <row r="65">
      <c r="A65" s="4"/>
      <c r="B65" s="15"/>
      <c r="C65" s="60" t="s">
        <v>114</v>
      </c>
      <c r="D65" s="60"/>
      <c r="E65" s="60"/>
      <c r="F65" s="165" t="s">
        <v>266</v>
      </c>
      <c r="G65" s="138"/>
      <c r="H65" s="138"/>
      <c r="I65" s="60" t="s">
        <v>114</v>
      </c>
      <c r="J65" s="60"/>
      <c r="K65" s="60"/>
      <c r="L65" s="60" t="s">
        <v>114</v>
      </c>
      <c r="M65" s="60"/>
      <c r="N65" s="60"/>
      <c r="O65" s="165" t="s">
        <v>266</v>
      </c>
      <c r="P65" s="138"/>
      <c r="Q65" s="138"/>
      <c r="R65" s="165" t="s">
        <v>266</v>
      </c>
      <c r="S65" s="138"/>
      <c r="T65" s="138"/>
      <c r="U65" s="85" t="s">
        <v>76</v>
      </c>
      <c r="V65" s="85"/>
      <c r="W65" s="85"/>
      <c r="X65" s="165" t="s">
        <v>266</v>
      </c>
      <c r="Y65" s="138"/>
      <c r="Z65" s="138"/>
      <c r="AA65" s="138"/>
      <c r="AB65" s="138"/>
      <c r="AC65" s="138"/>
      <c r="AD65" s="138"/>
      <c r="AE65" s="138"/>
      <c r="AF65" s="138"/>
      <c r="AG65" s="138"/>
      <c r="AH65" s="138"/>
      <c r="AI65" s="138"/>
      <c r="AJ65" s="138"/>
      <c r="AK65" s="138"/>
      <c r="AL65" s="138"/>
      <c r="AM65" s="138"/>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customHeight="1" ht="26.0">
      <c r="A67" s="1" t="s">
        <v>487</v>
      </c>
      <c r="B67" s="5" t="s">
        <v>537</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customHeight="1" ht="26.0">
      <c r="A68" s="1"/>
      <c r="B68" s="5" t="s">
        <v>488</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customHeight="1" ht="26.0">
      <c r="A69" s="1"/>
      <c r="B69" s="12" t="s">
        <v>489</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customHeight="1" ht="26.0">
      <c r="A70" s="1"/>
      <c r="B70" s="13" t="s">
        <v>490</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customHeight="1" ht="39.0">
      <c r="A71" s="1"/>
      <c r="B71" s="140" t="s">
        <v>491</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c r="A73" s="171" t="s">
        <v>0</v>
      </c>
      <c r="B73" s="89" t="s">
        <v>102</v>
      </c>
      <c r="C73" s="43" t="s">
        <v>2</v>
      </c>
      <c r="D73" s="43"/>
      <c r="E73" s="43"/>
      <c r="F73" s="43" t="s">
        <v>35</v>
      </c>
      <c r="G73" s="43"/>
      <c r="H73" s="43"/>
      <c r="I73" s="43" t="s">
        <v>4</v>
      </c>
      <c r="J73" s="43"/>
      <c r="K73" s="43"/>
      <c r="L73" s="43" t="s">
        <v>3</v>
      </c>
      <c r="M73" s="43"/>
      <c r="N73" s="43"/>
      <c r="O73" s="67" t="s">
        <v>230</v>
      </c>
      <c r="P73" s="67"/>
      <c r="Q73" s="67"/>
      <c r="R73" s="43" t="s">
        <v>34</v>
      </c>
      <c r="S73" s="43"/>
      <c r="T73" s="43"/>
      <c r="U73" s="89" t="s">
        <v>103</v>
      </c>
      <c r="V73" s="89"/>
      <c r="W73" s="89"/>
      <c r="X73" s="89" t="s">
        <v>167</v>
      </c>
      <c r="Y73" s="89"/>
      <c r="Z73" s="32"/>
      <c r="AA73" s="5" t="s">
        <v>228</v>
      </c>
      <c r="AB73" s="5"/>
      <c r="AC73" s="5"/>
      <c r="AD73" s="89"/>
      <c r="AE73" s="89"/>
      <c r="AF73" s="89"/>
      <c r="AG73" s="89"/>
      <c r="AH73" s="89"/>
      <c r="AI73" s="89"/>
      <c r="AJ73" s="89"/>
      <c r="AK73" s="89"/>
      <c r="AL73" s="32"/>
      <c r="AM73" s="32"/>
    </row>
    <row r="74" customHeight="1" ht="39.0">
      <c r="A74" s="172"/>
      <c r="B74" s="5" t="s">
        <v>406</v>
      </c>
      <c r="C74" s="40" t="s">
        <v>407</v>
      </c>
      <c r="D74" s="40" t="s">
        <v>408</v>
      </c>
      <c r="E74" s="5" t="s">
        <v>409</v>
      </c>
      <c r="F74" s="40" t="s">
        <v>407</v>
      </c>
      <c r="G74" s="40" t="s">
        <v>408</v>
      </c>
      <c r="H74" s="5" t="s">
        <v>409</v>
      </c>
      <c r="I74" s="40" t="s">
        <v>407</v>
      </c>
      <c r="J74" s="40" t="s">
        <v>408</v>
      </c>
      <c r="K74" s="5" t="s">
        <v>409</v>
      </c>
      <c r="L74" s="40" t="s">
        <v>407</v>
      </c>
      <c r="M74" s="40" t="s">
        <v>408</v>
      </c>
      <c r="N74" s="5" t="s">
        <v>409</v>
      </c>
      <c r="O74" s="40" t="s">
        <v>407</v>
      </c>
      <c r="P74" s="40" t="s">
        <v>408</v>
      </c>
      <c r="Q74" s="5" t="s">
        <v>409</v>
      </c>
      <c r="R74" s="40" t="s">
        <v>407</v>
      </c>
      <c r="S74" s="40" t="s">
        <v>408</v>
      </c>
      <c r="T74" s="5" t="s">
        <v>409</v>
      </c>
      <c r="U74" s="40" t="s">
        <v>407</v>
      </c>
      <c r="V74" s="40" t="s">
        <v>408</v>
      </c>
      <c r="W74" s="5" t="s">
        <v>409</v>
      </c>
      <c r="X74" s="5" t="s">
        <v>407</v>
      </c>
      <c r="Y74" s="5" t="s">
        <v>408</v>
      </c>
      <c r="Z74" s="173" t="s">
        <v>409</v>
      </c>
      <c r="AA74" s="40" t="s">
        <v>407</v>
      </c>
      <c r="AB74" s="40" t="s">
        <v>408</v>
      </c>
      <c r="AC74" s="5" t="s">
        <v>409</v>
      </c>
      <c r="AD74" s="40"/>
      <c r="AE74" s="40"/>
      <c r="AF74" s="5"/>
      <c r="AG74" s="40"/>
      <c r="AH74" s="40"/>
      <c r="AI74" s="5"/>
      <c r="AJ74" s="5"/>
      <c r="AK74" s="5"/>
      <c r="AL74" s="173"/>
      <c r="AM74" s="173"/>
    </row>
    <row r="75" customHeight="1" ht="52.0">
      <c r="A75" s="172"/>
      <c r="B75" s="19" t="s">
        <v>410</v>
      </c>
      <c r="C75" s="40" t="s">
        <v>437</v>
      </c>
      <c r="D75" s="40" t="s">
        <v>438</v>
      </c>
      <c r="E75" s="5" t="s">
        <v>420</v>
      </c>
      <c r="F75" s="5" t="s">
        <v>414</v>
      </c>
      <c r="G75" s="40" t="s">
        <v>494</v>
      </c>
      <c r="H75" s="5" t="s">
        <v>420</v>
      </c>
      <c r="I75" s="40" t="s">
        <v>453</v>
      </c>
      <c r="J75" s="40" t="s">
        <v>494</v>
      </c>
      <c r="K75" s="5" t="s">
        <v>538</v>
      </c>
      <c r="L75" s="1" t="s">
        <v>437</v>
      </c>
      <c r="M75" s="84" t="s">
        <v>441</v>
      </c>
      <c r="N75" s="5"/>
      <c r="O75" s="81" t="n">
        <v>0.2708333333333333</v>
      </c>
      <c r="P75" s="81" t="n">
        <v>0.4791666666666667</v>
      </c>
      <c r="Q75" s="1" t="s">
        <v>420</v>
      </c>
      <c r="R75" s="174" t="n">
        <v>0.3263888888888889</v>
      </c>
      <c r="S75" s="82" t="n">
        <v>0.041666666666666664</v>
      </c>
      <c r="T75" s="5" t="s">
        <v>539</v>
      </c>
      <c r="U75" s="84" t="s">
        <v>412</v>
      </c>
      <c r="V75" s="84" t="s">
        <v>424</v>
      </c>
      <c r="W75" s="5" t="s">
        <v>540</v>
      </c>
      <c r="X75" s="81" t="n">
        <v>0.3333333333333333</v>
      </c>
      <c r="Y75" s="81" t="n">
        <v>0.5</v>
      </c>
      <c r="Z75" s="175" t="s">
        <v>541</v>
      </c>
      <c r="AA75" s="1" t="s">
        <v>451</v>
      </c>
      <c r="AB75" s="1" t="s">
        <v>427</v>
      </c>
      <c r="AC75" s="1"/>
      <c r="AD75" s="84"/>
      <c r="AE75" s="84"/>
      <c r="AF75" s="5"/>
      <c r="AG75" s="85"/>
      <c r="AH75" s="85"/>
      <c r="AI75" s="1"/>
      <c r="AJ75" s="85"/>
      <c r="AK75" s="85"/>
      <c r="AL75" s="175"/>
      <c r="AM75" s="175"/>
    </row>
    <row r="76" customHeight="1" ht="52.0">
      <c r="A76" s="176" t="n">
        <v>44039.0</v>
      </c>
      <c r="B76" s="1" t="s">
        <v>90</v>
      </c>
      <c r="C76" s="91" t="n">
        <v>0.3125</v>
      </c>
      <c r="D76" s="177" t="s">
        <v>542</v>
      </c>
      <c r="E76" s="178" t="s">
        <v>481</v>
      </c>
      <c r="F76" s="91" t="n">
        <v>0.3298611111111111</v>
      </c>
      <c r="G76" s="50" t="s">
        <v>543</v>
      </c>
      <c r="H76" s="50"/>
      <c r="I76" s="114" t="s">
        <v>421</v>
      </c>
      <c r="J76" s="114" t="s">
        <v>544</v>
      </c>
      <c r="K76" s="179" t="n">
        <v>0.0</v>
      </c>
      <c r="L76" s="93" t="n">
        <v>0.3472222222222222</v>
      </c>
      <c r="M76" s="93" t="n">
        <v>0.4791666666666667</v>
      </c>
      <c r="N76" s="5" t="s">
        <v>420</v>
      </c>
      <c r="O76" s="105" t="n">
        <v>0.2604166666666667</v>
      </c>
      <c r="P76" s="105" t="n">
        <v>0.4652777777777778</v>
      </c>
      <c r="Q76" s="74" t="s">
        <v>420</v>
      </c>
      <c r="R76" s="99" t="n">
        <v>0.34930555555555554</v>
      </c>
      <c r="S76" s="50"/>
      <c r="T76" s="50"/>
      <c r="U76" s="93" t="n">
        <v>0.3090277777777778</v>
      </c>
      <c r="V76" s="101" t="n">
        <v>0.5069444444444444</v>
      </c>
      <c r="W76" s="12" t="s">
        <v>425</v>
      </c>
      <c r="X76" s="118" t="n">
        <v>0.3958333333333333</v>
      </c>
      <c r="Y76" s="118" t="n">
        <v>0.5277777777777778</v>
      </c>
      <c r="Z76" s="180" t="s">
        <v>425</v>
      </c>
      <c r="AA76" s="114" t="s">
        <v>545</v>
      </c>
      <c r="AB76" s="114" t="s">
        <v>424</v>
      </c>
      <c r="AC76" s="5" t="s">
        <v>452</v>
      </c>
      <c r="AD76" s="114"/>
      <c r="AE76" s="84"/>
      <c r="AF76" s="5"/>
      <c r="AG76" s="84"/>
      <c r="AH76" s="84"/>
      <c r="AI76" s="5"/>
      <c r="AJ76" s="181"/>
      <c r="AK76" s="181"/>
      <c r="AL76" s="180"/>
      <c r="AM76" s="180"/>
    </row>
    <row r="77" customHeight="1" ht="52.0">
      <c r="A77" s="176" t="n">
        <v>44040.0</v>
      </c>
      <c r="B77" s="1" t="s">
        <v>92</v>
      </c>
      <c r="C77" s="91" t="n">
        <v>0.2916666666666667</v>
      </c>
      <c r="D77" s="99" t="n">
        <v>0.5</v>
      </c>
      <c r="E77" s="49" t="s">
        <v>425</v>
      </c>
      <c r="F77" s="91" t="n">
        <v>0.3125</v>
      </c>
      <c r="G77" s="114" t="s">
        <v>546</v>
      </c>
      <c r="H77" s="50"/>
      <c r="I77" s="114" t="s">
        <v>547</v>
      </c>
      <c r="J77" s="114" t="s">
        <v>430</v>
      </c>
      <c r="K77" s="49"/>
      <c r="L77" s="93" t="n">
        <v>0.34930555555555554</v>
      </c>
      <c r="M77" s="101" t="n">
        <v>0.024305555555555556</v>
      </c>
      <c r="N77" s="5"/>
      <c r="O77" s="105" t="n">
        <v>0.25416666666666665</v>
      </c>
      <c r="P77" s="105" t="n">
        <v>0.46944444444444444</v>
      </c>
      <c r="Q77" s="74" t="s">
        <v>477</v>
      </c>
      <c r="R77" s="50"/>
      <c r="S77" s="50"/>
      <c r="T77" s="50"/>
      <c r="U77" s="101" t="n">
        <v>0.3333333333333333</v>
      </c>
      <c r="V77" s="93" t="n">
        <v>0.4583333333333333</v>
      </c>
      <c r="W77" s="13" t="s">
        <v>118</v>
      </c>
      <c r="X77" s="118" t="n">
        <v>0.375</v>
      </c>
      <c r="Y77" s="117" t="n">
        <v>0.5</v>
      </c>
      <c r="Z77" s="180" t="s">
        <v>548</v>
      </c>
      <c r="AA77" s="114" t="s">
        <v>549</v>
      </c>
      <c r="AB77" s="114" t="s">
        <v>550</v>
      </c>
      <c r="AC77" s="5" t="s">
        <v>452</v>
      </c>
      <c r="AD77" s="84"/>
      <c r="AE77" s="84"/>
      <c r="AF77" s="5"/>
      <c r="AG77" s="5"/>
      <c r="AH77" s="5"/>
      <c r="AI77" s="5"/>
      <c r="AJ77" s="181"/>
      <c r="AK77" s="182"/>
      <c r="AL77" s="180"/>
      <c r="AM77" s="180"/>
    </row>
    <row r="78" customHeight="1" ht="52.0">
      <c r="A78" s="176" t="n">
        <v>44041.0</v>
      </c>
      <c r="B78" s="1" t="s">
        <v>94</v>
      </c>
      <c r="C78" s="91" t="n">
        <v>0.3472222222222222</v>
      </c>
      <c r="D78" s="91" t="n">
        <v>0.4583333333333333</v>
      </c>
      <c r="E78" s="49" t="s">
        <v>468</v>
      </c>
      <c r="F78" s="91" t="n">
        <v>0.3125</v>
      </c>
      <c r="G78" s="50" t="s">
        <v>543</v>
      </c>
      <c r="H78" s="50"/>
      <c r="I78" s="114" t="s">
        <v>551</v>
      </c>
      <c r="J78" s="114" t="s">
        <v>430</v>
      </c>
      <c r="K78" s="49"/>
      <c r="L78" s="93" t="n">
        <v>0.34930555555555554</v>
      </c>
      <c r="M78" s="93" t="n">
        <v>0.4895833333333333</v>
      </c>
      <c r="N78" s="5"/>
      <c r="O78" s="105" t="n">
        <v>0.2611111111111111</v>
      </c>
      <c r="P78" s="104" t="n">
        <v>0.4895833333333333</v>
      </c>
      <c r="Q78" s="74" t="s">
        <v>477</v>
      </c>
      <c r="R78" s="50"/>
      <c r="S78" s="50"/>
      <c r="T78" s="50"/>
      <c r="U78" s="12" t="s">
        <v>412</v>
      </c>
      <c r="V78" s="12" t="s">
        <v>424</v>
      </c>
      <c r="W78" s="13" t="s">
        <v>118</v>
      </c>
      <c r="X78" s="13"/>
      <c r="Y78" s="13"/>
      <c r="Z78" s="183"/>
      <c r="AA78" s="114" t="s">
        <v>545</v>
      </c>
      <c r="AB78" s="114" t="s">
        <v>552</v>
      </c>
      <c r="AC78" s="5" t="s">
        <v>452</v>
      </c>
      <c r="AD78" s="5"/>
      <c r="AE78" s="5"/>
      <c r="AF78" s="5"/>
      <c r="AG78" s="5"/>
      <c r="AH78" s="5"/>
      <c r="AI78" s="5"/>
      <c r="AJ78" s="5"/>
      <c r="AK78" s="5"/>
      <c r="AL78" s="173"/>
      <c r="AM78" s="173"/>
    </row>
    <row r="79" customHeight="1" ht="52.0">
      <c r="A79" s="176" t="n">
        <v>44042.0</v>
      </c>
      <c r="B79" s="1" t="s">
        <v>96</v>
      </c>
      <c r="C79" s="91" t="n">
        <v>0.3541666666666667</v>
      </c>
      <c r="D79" s="91" t="n">
        <v>0.4791666666666667</v>
      </c>
      <c r="E79" s="49" t="s">
        <v>420</v>
      </c>
      <c r="F79" s="50" t="s">
        <v>518</v>
      </c>
      <c r="G79" s="50" t="s">
        <v>553</v>
      </c>
      <c r="H79" s="74" t="s">
        <v>420</v>
      </c>
      <c r="I79" s="114" t="s">
        <v>554</v>
      </c>
      <c r="J79" s="114" t="s">
        <v>430</v>
      </c>
      <c r="K79" s="49"/>
      <c r="L79" s="93" t="n">
        <v>0.3472222222222222</v>
      </c>
      <c r="M79" s="101" t="n">
        <v>0.007638888888888889</v>
      </c>
      <c r="N79" s="5"/>
      <c r="O79" s="104" t="n">
        <v>0.3125</v>
      </c>
      <c r="P79" s="73" t="s">
        <v>555</v>
      </c>
      <c r="Q79" s="184"/>
      <c r="R79" s="50"/>
      <c r="S79" s="50"/>
      <c r="T79" s="50"/>
      <c r="U79" s="12" t="s">
        <v>412</v>
      </c>
      <c r="V79" s="13" t="s">
        <v>474</v>
      </c>
      <c r="W79" s="13" t="s">
        <v>118</v>
      </c>
      <c r="X79" s="13"/>
      <c r="Y79" s="13"/>
      <c r="Z79" s="183"/>
      <c r="AA79" s="114" t="s">
        <v>556</v>
      </c>
      <c r="AB79" s="114" t="s">
        <v>471</v>
      </c>
      <c r="AC79" s="5" t="s">
        <v>452</v>
      </c>
      <c r="AD79" s="5"/>
      <c r="AE79" s="5"/>
      <c r="AF79" s="5"/>
      <c r="AG79" s="5"/>
      <c r="AH79" s="5"/>
      <c r="AI79" s="5"/>
      <c r="AJ79" s="5"/>
      <c r="AK79" s="5"/>
      <c r="AL79" s="173"/>
      <c r="AM79" s="173"/>
    </row>
    <row r="80" customHeight="1" ht="52.0">
      <c r="A80" s="176" t="n">
        <v>44043.0</v>
      </c>
      <c r="B80" s="1" t="s">
        <v>98</v>
      </c>
      <c r="C80" s="99" t="n">
        <v>0.3958333333333333</v>
      </c>
      <c r="D80" s="99" t="n">
        <v>0.5</v>
      </c>
      <c r="E80" s="49" t="s">
        <v>425</v>
      </c>
      <c r="F80" s="163" t="n">
        <v>0.3611111111111111</v>
      </c>
      <c r="G80" s="114" t="s">
        <v>557</v>
      </c>
      <c r="H80" s="74" t="s">
        <v>420</v>
      </c>
      <c r="I80" s="114" t="s">
        <v>412</v>
      </c>
      <c r="J80" s="107" t="s">
        <v>558</v>
      </c>
      <c r="K80" s="49"/>
      <c r="L80" s="93" t="n">
        <v>0.3486111111111111</v>
      </c>
      <c r="M80" s="101" t="n">
        <v>0.007638888888888889</v>
      </c>
      <c r="N80" s="5"/>
      <c r="O80" s="104" t="n">
        <v>0.3333333333333333</v>
      </c>
      <c r="P80" s="73" t="s">
        <v>559</v>
      </c>
      <c r="Q80" s="184"/>
      <c r="R80" s="50"/>
      <c r="S80" s="50"/>
      <c r="T80" s="50"/>
      <c r="U80" s="12" t="s">
        <v>560</v>
      </c>
      <c r="V80" s="12" t="s">
        <v>511</v>
      </c>
      <c r="W80" s="13" t="s">
        <v>118</v>
      </c>
      <c r="X80" s="118" t="n">
        <v>0.4166666666666667</v>
      </c>
      <c r="Y80" s="118" t="n">
        <v>0.5208333333333334</v>
      </c>
      <c r="Z80" s="180" t="s">
        <v>425</v>
      </c>
      <c r="AA80" s="183" t="s">
        <v>486</v>
      </c>
      <c r="AB80" s="183" t="s">
        <v>427</v>
      </c>
      <c r="AC80" s="5" t="s">
        <v>452</v>
      </c>
      <c r="AD80" s="5"/>
      <c r="AE80" s="5"/>
      <c r="AF80" s="5"/>
      <c r="AG80" s="5"/>
      <c r="AH80" s="5"/>
      <c r="AI80" s="5"/>
      <c r="AJ80" s="181"/>
      <c r="AK80" s="181"/>
      <c r="AL80" s="180"/>
      <c r="AM80" s="180"/>
    </row>
    <row r="81" customHeight="1" ht="52.0">
      <c r="A81" s="176" t="n">
        <v>44044.0</v>
      </c>
      <c r="B81" s="1" t="s">
        <v>100</v>
      </c>
      <c r="C81" s="91" t="n">
        <v>0.3541666666666667</v>
      </c>
      <c r="D81" s="91" t="n">
        <v>0.4791666666666667</v>
      </c>
      <c r="E81" s="49" t="s">
        <v>425</v>
      </c>
      <c r="F81" s="50" t="s">
        <v>561</v>
      </c>
      <c r="G81" s="107" t="s">
        <v>562</v>
      </c>
      <c r="H81" s="50"/>
      <c r="I81" s="114" t="s">
        <v>412</v>
      </c>
      <c r="J81" s="114" t="s">
        <v>563</v>
      </c>
      <c r="K81" s="49"/>
      <c r="L81" s="93" t="n">
        <v>0.35208333333333336</v>
      </c>
      <c r="M81" s="93" t="n">
        <v>0.4930555555555556</v>
      </c>
      <c r="N81" s="5"/>
      <c r="O81" s="104" t="n">
        <v>0.3125</v>
      </c>
      <c r="P81" s="105" t="n">
        <v>0.4583333333333333</v>
      </c>
      <c r="Q81" s="184"/>
      <c r="R81" s="50"/>
      <c r="S81" s="50"/>
      <c r="T81" s="50"/>
      <c r="U81" s="13" t="s">
        <v>514</v>
      </c>
      <c r="V81" s="93" t="n">
        <v>0.4722222222222222</v>
      </c>
      <c r="W81" s="13" t="s">
        <v>118</v>
      </c>
      <c r="X81" s="13"/>
      <c r="Y81" s="13"/>
      <c r="Z81" s="183"/>
      <c r="AA81" s="5" t="s">
        <v>556</v>
      </c>
      <c r="AB81" s="5" t="s">
        <v>542</v>
      </c>
      <c r="AC81" s="5" t="s">
        <v>452</v>
      </c>
      <c r="AD81" s="5"/>
      <c r="AE81" s="84"/>
      <c r="AF81" s="5"/>
      <c r="AG81" s="5"/>
      <c r="AH81" s="5"/>
      <c r="AI81" s="5"/>
      <c r="AJ81" s="5"/>
      <c r="AK81" s="5"/>
      <c r="AL81" s="173"/>
      <c r="AM81" s="173"/>
    </row>
    <row r="82" customHeight="1" ht="52.0">
      <c r="A82" s="185" t="n">
        <v>44045.0</v>
      </c>
      <c r="B82" s="186" t="s">
        <v>101</v>
      </c>
      <c r="C82" s="187" t="n">
        <v>0.3541666666666667</v>
      </c>
      <c r="D82" s="187" t="n">
        <v>0.4791666666666667</v>
      </c>
      <c r="E82" s="188" t="s">
        <v>425</v>
      </c>
      <c r="F82" s="189" t="n">
        <v>0.3194444444444444</v>
      </c>
      <c r="G82" s="190" t="n">
        <v>0.041666666666666664</v>
      </c>
      <c r="H82" s="191"/>
      <c r="I82" s="192" t="s">
        <v>457</v>
      </c>
      <c r="J82" s="193" t="s">
        <v>564</v>
      </c>
      <c r="K82" s="188"/>
      <c r="L82" s="194" t="n">
        <v>0.35347222222222224</v>
      </c>
      <c r="M82" s="194" t="n">
        <v>0.4895833333333333</v>
      </c>
      <c r="N82" s="10"/>
      <c r="O82" s="195" t="n">
        <v>0.3333333333333333</v>
      </c>
      <c r="P82" s="195" t="n">
        <v>0.46875</v>
      </c>
      <c r="Q82" s="196"/>
      <c r="R82" s="191"/>
      <c r="S82" s="191"/>
      <c r="T82" s="191"/>
      <c r="U82" s="197" t="s">
        <v>421</v>
      </c>
      <c r="V82" s="198" t="n">
        <v>0.18055555555555555</v>
      </c>
      <c r="W82" s="197" t="s">
        <v>425</v>
      </c>
      <c r="X82" s="199"/>
      <c r="Y82" s="199"/>
      <c r="Z82" s="200"/>
      <c r="AA82" s="10" t="s">
        <v>545</v>
      </c>
      <c r="AB82" s="10" t="s">
        <v>471</v>
      </c>
      <c r="AC82" s="5" t="s">
        <v>452</v>
      </c>
      <c r="AD82" s="10"/>
      <c r="AE82" s="201"/>
      <c r="AF82" s="10"/>
      <c r="AG82" s="10"/>
      <c r="AH82" s="10"/>
      <c r="AI82" s="10"/>
      <c r="AJ82" s="10"/>
      <c r="AK82" s="10"/>
      <c r="AL82" s="11"/>
      <c r="AM82" s="11"/>
    </row>
    <row r="83">
      <c r="B83" s="15"/>
      <c r="C83" s="202" t="s">
        <v>114</v>
      </c>
      <c r="D83" s="202"/>
      <c r="E83" s="202"/>
      <c r="F83" s="203" t="s">
        <v>115</v>
      </c>
      <c r="G83" s="203"/>
      <c r="H83" s="203"/>
      <c r="I83" s="202" t="s">
        <v>114</v>
      </c>
      <c r="J83" s="202"/>
      <c r="K83" s="202"/>
      <c r="L83" s="202" t="s">
        <v>114</v>
      </c>
      <c r="M83" s="202"/>
      <c r="N83" s="202"/>
      <c r="O83" s="203" t="s">
        <v>115</v>
      </c>
      <c r="P83" s="203"/>
      <c r="Q83" s="203"/>
      <c r="R83" s="203" t="s">
        <v>115</v>
      </c>
      <c r="S83" s="203"/>
      <c r="T83" s="203"/>
      <c r="U83" s="203" t="s">
        <v>115</v>
      </c>
      <c r="V83" s="203"/>
      <c r="W83" s="203"/>
      <c r="X83" s="203" t="s">
        <v>115</v>
      </c>
      <c r="Y83" s="203"/>
      <c r="Z83" s="203"/>
      <c r="AA83" s="202" t="s">
        <v>114</v>
      </c>
      <c r="AB83" s="202"/>
      <c r="AC83" s="202"/>
      <c r="AD83" s="5"/>
      <c r="AE83" s="5"/>
      <c r="AF83" s="5"/>
      <c r="AG83" s="5"/>
      <c r="AH83" s="5"/>
      <c r="AI83" s="5"/>
      <c r="AJ83" s="5"/>
      <c r="AK83" s="5"/>
      <c r="AL83" s="5"/>
      <c r="AM83" s="5"/>
    </row>
    <row r="84">
      <c r="B84" s="15" t="s">
        <v>116</v>
      </c>
      <c r="C84" s="53"/>
      <c r="D84" s="75" t="n">
        <v>4.0</v>
      </c>
      <c r="E84" s="15"/>
      <c r="F84" s="15"/>
      <c r="G84" s="21" t="n">
        <v>-1.0</v>
      </c>
      <c r="H84" s="15"/>
      <c r="I84" s="15"/>
      <c r="J84" s="21" t="n">
        <v>4.0</v>
      </c>
      <c r="K84" s="15"/>
      <c r="L84" s="15"/>
      <c r="M84" s="21" t="n">
        <v>4.0</v>
      </c>
      <c r="N84" s="15"/>
      <c r="P84" s="22" t="n">
        <v>-0.2</v>
      </c>
      <c r="S84" s="22" t="n">
        <v>-1.0</v>
      </c>
      <c r="U84" s="5"/>
      <c r="V84" s="204" t="n">
        <v>-1.0</v>
      </c>
      <c r="W84" s="5"/>
      <c r="X84" s="5"/>
      <c r="Y84" s="204" t="n">
        <v>-1.0</v>
      </c>
      <c r="Z84" s="5"/>
      <c r="AA84" s="92" t="n">
        <v>4.0</v>
      </c>
      <c r="AB84" s="40"/>
      <c r="AC84" s="40"/>
      <c r="AD84" s="5"/>
      <c r="AE84" s="5"/>
      <c r="AF84" s="5"/>
      <c r="AG84" s="5"/>
      <c r="AH84" s="5"/>
      <c r="AI84" s="5"/>
      <c r="AJ84" s="5"/>
      <c r="AK84" s="5"/>
      <c r="AL84" s="5"/>
      <c r="AM84" s="5"/>
    </row>
    <row r="85">
      <c r="B85" s="15"/>
      <c r="C85" s="53"/>
      <c r="D85" s="53"/>
      <c r="E85" s="15"/>
      <c r="F85" s="15"/>
      <c r="G85" s="15"/>
      <c r="H85" s="15"/>
      <c r="I85" s="15"/>
      <c r="J85" s="15"/>
      <c r="K85" s="15"/>
      <c r="L85" s="15"/>
      <c r="M85" s="15"/>
      <c r="N85" s="15"/>
      <c r="U85" s="5"/>
      <c r="V85" s="5"/>
      <c r="W85" s="5"/>
      <c r="X85" s="5"/>
      <c r="Y85" s="5"/>
      <c r="Z85" s="5"/>
      <c r="AA85" s="5"/>
      <c r="AB85" s="5"/>
      <c r="AC85" s="5"/>
      <c r="AD85" s="5"/>
      <c r="AE85" s="5"/>
      <c r="AF85" s="5"/>
      <c r="AG85" s="5"/>
      <c r="AH85" s="5"/>
      <c r="AI85" s="5"/>
      <c r="AJ85" s="5"/>
      <c r="AK85" s="5"/>
      <c r="AL85" s="5"/>
      <c r="AM85" s="5"/>
    </row>
    <row r="86">
      <c r="A86" s="1" t="s">
        <v>0</v>
      </c>
      <c r="B86" s="5" t="s">
        <v>102</v>
      </c>
      <c r="C86" s="40" t="s">
        <v>2</v>
      </c>
      <c r="D86" s="40"/>
      <c r="E86" s="40"/>
      <c r="F86" s="40" t="s">
        <v>3</v>
      </c>
      <c r="G86" s="40"/>
      <c r="H86" s="40"/>
      <c r="I86" s="40" t="s">
        <v>4</v>
      </c>
      <c r="J86" s="40"/>
      <c r="K86" s="40"/>
      <c r="L86" s="40" t="s">
        <v>32</v>
      </c>
      <c r="M86" s="40"/>
      <c r="N86" s="40"/>
      <c r="O86" s="39" t="s">
        <v>565</v>
      </c>
      <c r="P86" s="39"/>
      <c r="Q86" s="39"/>
      <c r="R86" s="39" t="s">
        <v>31</v>
      </c>
      <c r="S86" s="39"/>
      <c r="T86" s="39"/>
      <c r="U86" s="40" t="s">
        <v>566</v>
      </c>
      <c r="V86" s="40"/>
      <c r="W86" s="40"/>
      <c r="X86" s="40" t="s">
        <v>35</v>
      </c>
      <c r="Y86" s="40"/>
      <c r="Z86" s="40"/>
      <c r="AA86" s="40" t="s">
        <v>167</v>
      </c>
      <c r="AB86" s="40"/>
      <c r="AC86" s="40"/>
      <c r="AD86" s="5" t="s">
        <v>103</v>
      </c>
      <c r="AE86" s="5"/>
      <c r="AF86" s="5"/>
      <c r="AG86" s="5" t="s">
        <v>117</v>
      </c>
      <c r="AH86" s="5"/>
      <c r="AI86" s="5"/>
      <c r="AJ86" s="5" t="s">
        <v>228</v>
      </c>
      <c r="AK86" s="5"/>
      <c r="AL86" s="5"/>
      <c r="AM86" s="40" t="s">
        <v>567</v>
      </c>
      <c r="AN86" s="40"/>
      <c r="AO86" s="40"/>
      <c r="AP86" s="40" t="s">
        <v>36</v>
      </c>
      <c r="AQ86" s="40"/>
      <c r="AR86" s="40"/>
      <c r="AS86" s="2"/>
      <c r="AT86" s="2"/>
      <c r="AU86" s="2"/>
      <c r="AV86" s="40"/>
      <c r="AW86" s="40"/>
      <c r="AX86" s="40"/>
    </row>
    <row r="87" customHeight="1" ht="39.0">
      <c r="A87" s="1"/>
      <c r="B87" s="5" t="s">
        <v>406</v>
      </c>
      <c r="C87" s="40" t="s">
        <v>407</v>
      </c>
      <c r="D87" s="40" t="s">
        <v>408</v>
      </c>
      <c r="E87" s="5" t="s">
        <v>409</v>
      </c>
      <c r="F87" s="40" t="s">
        <v>407</v>
      </c>
      <c r="G87" s="40" t="s">
        <v>408</v>
      </c>
      <c r="H87" s="5" t="s">
        <v>409</v>
      </c>
      <c r="I87" s="40" t="s">
        <v>407</v>
      </c>
      <c r="J87" s="40" t="s">
        <v>408</v>
      </c>
      <c r="K87" s="5" t="s">
        <v>409</v>
      </c>
      <c r="L87" s="40" t="s">
        <v>407</v>
      </c>
      <c r="M87" s="40" t="s">
        <v>408</v>
      </c>
      <c r="N87" s="5" t="s">
        <v>409</v>
      </c>
      <c r="O87" s="40" t="s">
        <v>407</v>
      </c>
      <c r="P87" s="40" t="s">
        <v>408</v>
      </c>
      <c r="Q87" s="5" t="s">
        <v>409</v>
      </c>
      <c r="R87" s="40" t="s">
        <v>407</v>
      </c>
      <c r="S87" s="40" t="s">
        <v>408</v>
      </c>
      <c r="T87" s="5" t="s">
        <v>409</v>
      </c>
      <c r="U87" s="40" t="s">
        <v>407</v>
      </c>
      <c r="V87" s="40" t="s">
        <v>408</v>
      </c>
      <c r="W87" s="5" t="s">
        <v>409</v>
      </c>
      <c r="X87" s="40" t="s">
        <v>407</v>
      </c>
      <c r="Y87" s="40" t="s">
        <v>408</v>
      </c>
      <c r="Z87" s="5" t="s">
        <v>409</v>
      </c>
      <c r="AA87" s="5" t="s">
        <v>407</v>
      </c>
      <c r="AB87" s="5" t="s">
        <v>408</v>
      </c>
      <c r="AC87" s="5" t="s">
        <v>409</v>
      </c>
      <c r="AD87" s="40" t="s">
        <v>407</v>
      </c>
      <c r="AE87" s="40" t="s">
        <v>408</v>
      </c>
      <c r="AF87" s="5" t="s">
        <v>409</v>
      </c>
      <c r="AG87" s="5" t="s">
        <v>407</v>
      </c>
      <c r="AH87" s="5" t="s">
        <v>408</v>
      </c>
      <c r="AI87" s="5" t="s">
        <v>409</v>
      </c>
      <c r="AJ87" s="5" t="s">
        <v>407</v>
      </c>
      <c r="AK87" s="5" t="s">
        <v>408</v>
      </c>
      <c r="AL87" s="5" t="s">
        <v>409</v>
      </c>
      <c r="AM87" s="40" t="s">
        <v>407</v>
      </c>
      <c r="AN87" s="40" t="s">
        <v>408</v>
      </c>
      <c r="AO87" s="5" t="s">
        <v>409</v>
      </c>
      <c r="AP87" s="40" t="s">
        <v>407</v>
      </c>
      <c r="AQ87" s="40" t="s">
        <v>408</v>
      </c>
      <c r="AR87" s="5" t="s">
        <v>409</v>
      </c>
      <c r="AS87" s="2"/>
      <c r="AT87" s="2"/>
      <c r="AU87" s="2"/>
      <c r="AV87" s="5"/>
      <c r="AW87" s="5"/>
      <c r="AX87" s="5"/>
    </row>
    <row r="88" customHeight="1" ht="39.0">
      <c r="A88" s="1"/>
      <c r="B88" s="19" t="s">
        <v>410</v>
      </c>
      <c r="C88" s="80" t="n">
        <v>0.3541666666666667</v>
      </c>
      <c r="D88" s="80" t="n">
        <v>0.4791666666666667</v>
      </c>
      <c r="E88" s="5" t="s">
        <v>411</v>
      </c>
      <c r="F88" s="82" t="n">
        <v>0.3541666666666667</v>
      </c>
      <c r="G88" s="80" t="n">
        <v>0.0</v>
      </c>
      <c r="H88" s="5"/>
      <c r="I88" s="40" t="s">
        <v>568</v>
      </c>
      <c r="J88" s="40" t="s">
        <v>569</v>
      </c>
      <c r="K88" s="5"/>
      <c r="L88" s="1" t="s">
        <v>570</v>
      </c>
      <c r="M88" s="84" t="s">
        <v>571</v>
      </c>
      <c r="N88" s="5"/>
      <c r="O88" s="81" t="n">
        <v>0.3541666666666667</v>
      </c>
      <c r="P88" s="85" t="s">
        <v>572</v>
      </c>
      <c r="Q88" s="1" t="s">
        <v>573</v>
      </c>
      <c r="R88" s="1" t="s">
        <v>568</v>
      </c>
      <c r="S88" s="1" t="s">
        <v>574</v>
      </c>
      <c r="T88" s="1"/>
      <c r="U88" s="87" t="s">
        <v>575</v>
      </c>
      <c r="V88" s="84" t="s">
        <v>576</v>
      </c>
      <c r="W88" s="5"/>
      <c r="X88" s="1" t="s">
        <v>414</v>
      </c>
      <c r="Y88" s="84" t="s">
        <v>415</v>
      </c>
      <c r="Z88" s="5" t="s">
        <v>416</v>
      </c>
      <c r="AA88" s="5" t="s">
        <v>465</v>
      </c>
      <c r="AB88" s="5" t="s">
        <v>427</v>
      </c>
      <c r="AC88" s="5"/>
      <c r="AD88" s="84"/>
      <c r="AE88" s="84"/>
      <c r="AF88" s="5"/>
      <c r="AG88" s="81" t="n">
        <v>0.3611111111111111</v>
      </c>
      <c r="AH88" s="81" t="n">
        <v>0.5</v>
      </c>
      <c r="AI88" s="1" t="s">
        <v>577</v>
      </c>
      <c r="AJ88" s="1" t="s">
        <v>568</v>
      </c>
      <c r="AK88" s="1" t="s">
        <v>578</v>
      </c>
      <c r="AL88" s="1"/>
      <c r="AM88" s="1" t="s">
        <v>414</v>
      </c>
      <c r="AN88" s="84" t="s">
        <v>500</v>
      </c>
      <c r="AO88" s="5" t="s">
        <v>416</v>
      </c>
      <c r="AP88" s="5" t="s">
        <v>453</v>
      </c>
      <c r="AQ88" s="5" t="s">
        <v>449</v>
      </c>
      <c r="AR88" s="5" t="s">
        <v>579</v>
      </c>
      <c r="AS88" s="2"/>
      <c r="AT88" s="2"/>
      <c r="AU88" s="2"/>
      <c r="AV88" s="5"/>
      <c r="AW88" s="5"/>
      <c r="AX88" s="5"/>
    </row>
    <row r="89" customHeight="1" ht="52.0">
      <c r="A89" s="17" t="n">
        <v>44046.0</v>
      </c>
      <c r="B89" s="1" t="s">
        <v>90</v>
      </c>
      <c r="C89" s="99" t="n">
        <v>0.4444444444444444</v>
      </c>
      <c r="D89" s="99" t="n">
        <v>0.5</v>
      </c>
      <c r="E89" s="205" t="n">
        <v>0.0</v>
      </c>
      <c r="F89" s="91" t="n">
        <v>0.3263888888888889</v>
      </c>
      <c r="G89" s="91" t="n">
        <v>0.4930555555555556</v>
      </c>
      <c r="H89" s="40"/>
      <c r="I89" s="177" t="s">
        <v>421</v>
      </c>
      <c r="J89" s="177" t="s">
        <v>580</v>
      </c>
      <c r="K89" s="40" t="s">
        <v>481</v>
      </c>
      <c r="L89" s="101" t="n">
        <v>0.4166666666666667</v>
      </c>
      <c r="M89" s="93" t="n">
        <v>0.5111111111111111</v>
      </c>
      <c r="N89" s="5"/>
      <c r="O89" s="206" t="s">
        <v>581</v>
      </c>
      <c r="P89" s="206" t="s">
        <v>459</v>
      </c>
      <c r="Q89" s="39"/>
      <c r="R89" s="107"/>
      <c r="S89" s="114" t="s">
        <v>582</v>
      </c>
      <c r="T89" s="39"/>
      <c r="U89" s="177" t="s">
        <v>575</v>
      </c>
      <c r="V89" s="177" t="s">
        <v>583</v>
      </c>
      <c r="W89" s="40"/>
      <c r="X89" s="82" t="n">
        <v>0.3875</v>
      </c>
      <c r="Y89" s="82" t="n">
        <v>0.9930555555555556</v>
      </c>
      <c r="Z89" s="5"/>
      <c r="AA89" s="1" t="s">
        <v>518</v>
      </c>
      <c r="AB89" s="25" t="s">
        <v>427</v>
      </c>
      <c r="AC89" s="2"/>
      <c r="AD89" s="93" t="n">
        <v>0.3055555555555556</v>
      </c>
      <c r="AE89" s="114" t="s">
        <v>584</v>
      </c>
      <c r="AF89" s="5" t="s">
        <v>481</v>
      </c>
      <c r="AG89" s="101" t="n">
        <v>0.4583333333333333</v>
      </c>
      <c r="AH89" s="93" t="n">
        <v>0.5</v>
      </c>
      <c r="AI89" s="207" t="n">
        <v>0.0</v>
      </c>
      <c r="AJ89" s="208" t="s">
        <v>545</v>
      </c>
      <c r="AK89" s="208" t="s">
        <v>424</v>
      </c>
      <c r="AL89" s="1" t="s">
        <v>452</v>
      </c>
      <c r="AM89" s="209" t="n">
        <v>0.3333333333333333</v>
      </c>
      <c r="AN89" s="209" t="n">
        <v>0.49722222222222223</v>
      </c>
      <c r="AO89" s="2"/>
      <c r="AP89" s="149"/>
      <c r="AQ89" s="25" t="s">
        <v>474</v>
      </c>
      <c r="AR89" s="2"/>
      <c r="AS89" s="2"/>
      <c r="AT89" s="2"/>
      <c r="AU89" s="2"/>
      <c r="AV89" s="2"/>
      <c r="AW89" s="2"/>
      <c r="AX89" s="2"/>
    </row>
    <row r="90" customHeight="1" ht="52.0">
      <c r="A90" s="17" t="n">
        <v>44047.0</v>
      </c>
      <c r="B90" s="1" t="s">
        <v>92</v>
      </c>
      <c r="C90" s="91" t="n">
        <v>0.3541666666666667</v>
      </c>
      <c r="D90" s="91" t="n">
        <v>0.4791666666666667</v>
      </c>
      <c r="E90" s="49" t="s">
        <v>425</v>
      </c>
      <c r="F90" s="91" t="n">
        <v>0.3333333333333333</v>
      </c>
      <c r="G90" s="101" t="n">
        <v>0.0020833333333333333</v>
      </c>
      <c r="H90" s="40"/>
      <c r="I90" s="177" t="s">
        <v>423</v>
      </c>
      <c r="J90" s="107" t="s">
        <v>564</v>
      </c>
      <c r="K90" s="40" t="s">
        <v>425</v>
      </c>
      <c r="L90" s="93" t="n">
        <v>0.3701388888888889</v>
      </c>
      <c r="M90" s="93" t="n">
        <v>0.5194444444444445</v>
      </c>
      <c r="N90" s="5" t="s">
        <v>425</v>
      </c>
      <c r="O90" s="206" t="s">
        <v>585</v>
      </c>
      <c r="P90" s="206" t="s">
        <v>586</v>
      </c>
      <c r="Q90" s="39"/>
      <c r="R90" s="114" t="s">
        <v>545</v>
      </c>
      <c r="S90" s="101" t="n">
        <v>0.004861111111111111</v>
      </c>
      <c r="T90" s="39"/>
      <c r="U90" s="91" t="n">
        <v>0.2569444444444444</v>
      </c>
      <c r="V90" s="177" t="s">
        <v>576</v>
      </c>
      <c r="W90" s="40"/>
      <c r="X90" s="91" t="n">
        <v>0.3263888888888889</v>
      </c>
      <c r="Y90" s="114" t="s">
        <v>587</v>
      </c>
      <c r="Z90" s="12" t="s">
        <v>420</v>
      </c>
      <c r="AA90" s="1" t="s">
        <v>467</v>
      </c>
      <c r="AB90" s="25" t="s">
        <v>427</v>
      </c>
      <c r="AC90" s="2"/>
      <c r="AD90" s="93" t="n">
        <v>0.3090277777777778</v>
      </c>
      <c r="AE90" s="82" t="n">
        <v>0.041666666666666664</v>
      </c>
      <c r="AF90" s="5" t="s">
        <v>118</v>
      </c>
      <c r="AG90" s="101" t="n">
        <v>0.375</v>
      </c>
      <c r="AH90" s="101" t="n">
        <v>0.08333333333333333</v>
      </c>
      <c r="AI90" s="5" t="s">
        <v>577</v>
      </c>
      <c r="AJ90" s="84" t="s">
        <v>556</v>
      </c>
      <c r="AK90" s="84"/>
      <c r="AL90" s="5"/>
      <c r="AM90" s="210" t="n">
        <v>0.3125</v>
      </c>
      <c r="AN90" s="209" t="n">
        <v>0.4791666666666667</v>
      </c>
      <c r="AO90" s="2"/>
      <c r="AP90" s="25" t="s">
        <v>588</v>
      </c>
      <c r="AQ90" s="120" t="n">
        <v>0.5208333333333334</v>
      </c>
      <c r="AR90" s="2"/>
      <c r="AS90" s="2"/>
      <c r="AT90" s="2"/>
      <c r="AU90" s="2"/>
      <c r="AV90" s="2"/>
      <c r="AW90" s="2"/>
      <c r="AX90" s="2"/>
    </row>
    <row r="91" customHeight="1" ht="52.0">
      <c r="A91" s="17" t="n">
        <v>44048.0</v>
      </c>
      <c r="B91" s="1" t="s">
        <v>94</v>
      </c>
      <c r="C91" s="91" t="n">
        <v>0.3541666666666667</v>
      </c>
      <c r="D91" s="91" t="n">
        <v>0.4791666666666667</v>
      </c>
      <c r="E91" s="49" t="s">
        <v>425</v>
      </c>
      <c r="F91" s="91" t="n">
        <v>0.3194444444444444</v>
      </c>
      <c r="G91" s="99" t="n">
        <v>0.020833333333333332</v>
      </c>
      <c r="H91" s="40"/>
      <c r="I91" s="177" t="s">
        <v>421</v>
      </c>
      <c r="J91" s="177" t="s">
        <v>589</v>
      </c>
      <c r="K91" s="40" t="s">
        <v>481</v>
      </c>
      <c r="L91" s="101" t="n">
        <v>0.4305555555555556</v>
      </c>
      <c r="M91" s="101" t="n">
        <v>0.20833333333333334</v>
      </c>
      <c r="N91" s="5"/>
      <c r="O91" s="211" t="s">
        <v>590</v>
      </c>
      <c r="P91" s="206" t="s">
        <v>586</v>
      </c>
      <c r="Q91" s="39"/>
      <c r="R91" s="93" t="n">
        <v>0.3333333333333333</v>
      </c>
      <c r="S91" s="93" t="n">
        <v>0.9979166666666667</v>
      </c>
      <c r="T91" s="39"/>
      <c r="U91" s="177" t="s">
        <v>554</v>
      </c>
      <c r="V91" s="177" t="s">
        <v>591</v>
      </c>
      <c r="W91" s="40"/>
      <c r="X91" s="81" t="n">
        <v>0.3472222222222222</v>
      </c>
      <c r="Y91" s="82" t="n">
        <v>0.9965277777777778</v>
      </c>
      <c r="Z91" s="12" t="s">
        <v>469</v>
      </c>
      <c r="AA91" s="25" t="s">
        <v>451</v>
      </c>
      <c r="AB91" s="1" t="s">
        <v>458</v>
      </c>
      <c r="AC91" s="2"/>
      <c r="AD91" s="13" t="s">
        <v>465</v>
      </c>
      <c r="AE91" s="93" t="n">
        <v>0.4791666666666667</v>
      </c>
      <c r="AF91" s="5" t="s">
        <v>592</v>
      </c>
      <c r="AG91" s="101" t="n">
        <v>0.4583333333333333</v>
      </c>
      <c r="AH91" s="101" t="n">
        <v>0.5208333333333334</v>
      </c>
      <c r="AI91" s="204" t="n">
        <v>0.0</v>
      </c>
      <c r="AJ91" s="5"/>
      <c r="AK91" s="5"/>
      <c r="AL91" s="5"/>
      <c r="AM91" s="101" t="n">
        <v>0.3402777777777778</v>
      </c>
      <c r="AN91" s="209" t="n">
        <v>0.5</v>
      </c>
      <c r="AO91" s="2"/>
      <c r="AP91" s="120" t="n">
        <v>0.3541666666666667</v>
      </c>
      <c r="AQ91" s="25" t="s">
        <v>459</v>
      </c>
      <c r="AR91" s="2"/>
      <c r="AS91" s="2"/>
      <c r="AT91" s="2"/>
      <c r="AU91" s="2"/>
      <c r="AV91" s="2"/>
      <c r="AW91" s="2"/>
      <c r="AX91" s="2"/>
    </row>
    <row r="92" customHeight="1" ht="52.0">
      <c r="A92" s="17" t="n">
        <v>44049.0</v>
      </c>
      <c r="B92" s="1" t="s">
        <v>96</v>
      </c>
      <c r="C92" s="91" t="n">
        <v>0.3472222222222222</v>
      </c>
      <c r="D92" s="91" t="n">
        <v>0.4791666666666667</v>
      </c>
      <c r="E92" s="49" t="s">
        <v>425</v>
      </c>
      <c r="F92" s="99" t="n">
        <v>0.3548611111111111</v>
      </c>
      <c r="G92" s="91" t="n">
        <v>0.4930555555555556</v>
      </c>
      <c r="H92" s="39"/>
      <c r="I92" s="177" t="s">
        <v>421</v>
      </c>
      <c r="J92" s="107" t="s">
        <v>422</v>
      </c>
      <c r="K92" s="40" t="s">
        <v>477</v>
      </c>
      <c r="L92" s="101" t="n">
        <v>0.4791666666666667</v>
      </c>
      <c r="M92" s="101" t="n">
        <v>0.0625</v>
      </c>
      <c r="N92" s="5"/>
      <c r="O92" s="206" t="s">
        <v>473</v>
      </c>
      <c r="P92" s="70" t="s">
        <v>593</v>
      </c>
      <c r="Q92" s="39"/>
      <c r="R92" s="93" t="n">
        <v>0.3333333333333333</v>
      </c>
      <c r="S92" s="107"/>
      <c r="T92" s="39"/>
      <c r="U92" s="177" t="s">
        <v>594</v>
      </c>
      <c r="V92" s="107" t="s">
        <v>595</v>
      </c>
      <c r="W92" s="40"/>
      <c r="X92" s="100" t="n">
        <v>0.33194444444444443</v>
      </c>
      <c r="Y92" s="174" t="n">
        <v>0.9930555555555556</v>
      </c>
      <c r="Z92" s="12" t="s">
        <v>420</v>
      </c>
      <c r="AA92" s="25" t="s">
        <v>465</v>
      </c>
      <c r="AB92" s="25" t="s">
        <v>427</v>
      </c>
      <c r="AC92" s="2"/>
      <c r="AD92" s="13" t="s">
        <v>451</v>
      </c>
      <c r="AE92" s="93" t="n">
        <v>0.4701388888888889</v>
      </c>
      <c r="AF92" s="5" t="s">
        <v>596</v>
      </c>
      <c r="AG92" s="101" t="n">
        <v>0.4375</v>
      </c>
      <c r="AH92" s="5"/>
      <c r="AI92" s="204" t="n">
        <v>0.0</v>
      </c>
      <c r="AJ92" s="5"/>
      <c r="AK92" s="5"/>
      <c r="AL92" s="5"/>
      <c r="AM92" s="210" t="n">
        <v>0.3333333333333333</v>
      </c>
      <c r="AN92" s="86" t="n">
        <v>0.020833333333333332</v>
      </c>
      <c r="AO92" s="2"/>
      <c r="AP92" s="25" t="s">
        <v>514</v>
      </c>
      <c r="AQ92" s="25" t="s">
        <v>459</v>
      </c>
      <c r="AR92" s="2"/>
      <c r="AS92" s="2"/>
      <c r="AT92" s="2"/>
      <c r="AU92" s="2"/>
      <c r="AV92" s="2"/>
      <c r="AW92" s="2"/>
      <c r="AX92" s="2"/>
    </row>
    <row r="93" customHeight="1" ht="52.0">
      <c r="A93" s="17" t="n">
        <v>44050.0</v>
      </c>
      <c r="B93" s="1" t="s">
        <v>98</v>
      </c>
      <c r="C93" s="91" t="n">
        <v>0.3472222222222222</v>
      </c>
      <c r="D93" s="91" t="n">
        <v>0.4791666666666667</v>
      </c>
      <c r="E93" s="49" t="s">
        <v>425</v>
      </c>
      <c r="F93" s="91" t="n">
        <v>0.3333333333333333</v>
      </c>
      <c r="G93" s="93" t="n">
        <v>0.4965277777777778</v>
      </c>
      <c r="H93" s="39"/>
      <c r="I93" s="177" t="s">
        <v>556</v>
      </c>
      <c r="J93" s="114" t="s">
        <v>430</v>
      </c>
      <c r="K93" s="40" t="s">
        <v>481</v>
      </c>
      <c r="L93" s="93" t="n">
        <v>0.2777777777777778</v>
      </c>
      <c r="M93" s="93" t="n">
        <v>0.5194444444444445</v>
      </c>
      <c r="N93" s="5"/>
      <c r="O93" s="211" t="s">
        <v>542</v>
      </c>
      <c r="P93" s="65" t="s">
        <v>597</v>
      </c>
      <c r="Q93" s="39"/>
      <c r="R93" s="107"/>
      <c r="S93" s="93" t="n">
        <v>0.9604166666666667</v>
      </c>
      <c r="T93" s="39"/>
      <c r="U93" s="177" t="s">
        <v>598</v>
      </c>
      <c r="V93" s="107" t="s">
        <v>599</v>
      </c>
      <c r="W93" s="40"/>
      <c r="X93" s="82" t="n">
        <v>0.3958333333333333</v>
      </c>
      <c r="Y93" s="84" t="s">
        <v>430</v>
      </c>
      <c r="Z93" s="12" t="s">
        <v>420</v>
      </c>
      <c r="AA93" s="1" t="s">
        <v>467</v>
      </c>
      <c r="AB93" s="1" t="s">
        <v>463</v>
      </c>
      <c r="AC93" s="2"/>
      <c r="AD93" s="101" t="n">
        <v>0.3402777777777778</v>
      </c>
      <c r="AE93" s="12" t="s">
        <v>542</v>
      </c>
      <c r="AF93" s="5" t="s">
        <v>118</v>
      </c>
      <c r="AG93" s="5"/>
      <c r="AH93" s="5"/>
      <c r="AI93" s="5"/>
      <c r="AJ93" s="84"/>
      <c r="AK93" s="84"/>
      <c r="AL93" s="5"/>
      <c r="AM93" s="210" t="n">
        <v>0.31805555555555554</v>
      </c>
      <c r="AN93" s="209" t="n">
        <v>0.4861111111111111</v>
      </c>
      <c r="AO93" s="2"/>
      <c r="AP93" s="25" t="s">
        <v>514</v>
      </c>
      <c r="AQ93" s="2"/>
      <c r="AR93" s="2"/>
      <c r="AS93" s="2"/>
      <c r="AT93" s="2"/>
      <c r="AU93" s="2"/>
      <c r="AV93" s="2"/>
      <c r="AW93" s="2"/>
      <c r="AX93" s="2"/>
    </row>
    <row r="94" customHeight="1" ht="52.0">
      <c r="A94" s="17" t="n">
        <v>44051.0</v>
      </c>
      <c r="B94" s="1" t="s">
        <v>100</v>
      </c>
      <c r="C94" s="91" t="n">
        <v>0.3506944444444444</v>
      </c>
      <c r="D94" s="177" t="s">
        <v>542</v>
      </c>
      <c r="E94" s="49" t="s">
        <v>425</v>
      </c>
      <c r="F94" s="91" t="n">
        <v>0.3333333333333333</v>
      </c>
      <c r="G94" s="93" t="n">
        <v>0.4965277777777778</v>
      </c>
      <c r="H94" s="40"/>
      <c r="I94" s="177" t="s">
        <v>412</v>
      </c>
      <c r="J94" s="177" t="s">
        <v>589</v>
      </c>
      <c r="K94" s="40" t="s">
        <v>420</v>
      </c>
      <c r="L94" s="101" t="n">
        <v>0.3958333333333333</v>
      </c>
      <c r="M94" s="101" t="n">
        <v>0.04375</v>
      </c>
      <c r="N94" s="5"/>
      <c r="O94" s="206" t="s">
        <v>514</v>
      </c>
      <c r="P94" s="211" t="s">
        <v>600</v>
      </c>
      <c r="Q94" s="39"/>
      <c r="R94" s="93" t="n">
        <v>0.2604166666666667</v>
      </c>
      <c r="S94" s="93" t="n">
        <v>0.9194444444444444</v>
      </c>
      <c r="T94" s="39"/>
      <c r="U94" s="177" t="s">
        <v>601</v>
      </c>
      <c r="V94" s="114" t="s">
        <v>602</v>
      </c>
      <c r="W94" s="40"/>
      <c r="X94" s="82" t="n">
        <v>0.4305555555555556</v>
      </c>
      <c r="Y94" s="82" t="n">
        <v>0.005555555555555556</v>
      </c>
      <c r="Z94" s="5"/>
      <c r="AA94" s="25" t="s">
        <v>451</v>
      </c>
      <c r="AB94" s="25" t="s">
        <v>474</v>
      </c>
      <c r="AC94" s="2"/>
      <c r="AD94" s="13" t="s">
        <v>517</v>
      </c>
      <c r="AE94" s="114" t="s">
        <v>603</v>
      </c>
      <c r="AF94" s="5" t="s">
        <v>118</v>
      </c>
      <c r="AG94" s="5"/>
      <c r="AH94" s="5"/>
      <c r="AI94" s="5"/>
      <c r="AJ94" s="5"/>
      <c r="AK94" s="5"/>
      <c r="AL94" s="5"/>
      <c r="AM94" s="210" t="n">
        <v>0.3263888888888889</v>
      </c>
      <c r="AN94" s="86" t="n">
        <v>0.0625</v>
      </c>
      <c r="AO94" s="2"/>
      <c r="AP94" s="2"/>
      <c r="AQ94" s="2"/>
      <c r="AR94" s="2"/>
      <c r="AS94" s="2"/>
      <c r="AT94" s="2"/>
      <c r="AU94" s="2"/>
      <c r="AV94" s="2"/>
      <c r="AW94" s="2"/>
      <c r="AX94" s="2"/>
    </row>
    <row r="95" customHeight="1" ht="52.0">
      <c r="A95" s="17" t="n">
        <v>44052.0</v>
      </c>
      <c r="B95" s="1" t="s">
        <v>101</v>
      </c>
      <c r="C95" s="99" t="n">
        <v>0.4270833333333333</v>
      </c>
      <c r="D95" s="99" t="n">
        <v>0.5</v>
      </c>
      <c r="E95" s="205" t="n">
        <v>0.0</v>
      </c>
      <c r="F95" s="91" t="n">
        <v>0.3451388888888889</v>
      </c>
      <c r="G95" s="91" t="n">
        <v>0.4965277777777778</v>
      </c>
      <c r="H95" s="40"/>
      <c r="I95" s="177" t="s">
        <v>412</v>
      </c>
      <c r="J95" s="177" t="s">
        <v>604</v>
      </c>
      <c r="K95" s="40" t="s">
        <v>420</v>
      </c>
      <c r="L95" s="101" t="n">
        <v>0.37916666666666665</v>
      </c>
      <c r="M95" s="93" t="n">
        <v>0.4166666666666667</v>
      </c>
      <c r="N95" s="5"/>
      <c r="O95" s="211" t="s">
        <v>605</v>
      </c>
      <c r="P95" s="211" t="s">
        <v>593</v>
      </c>
      <c r="Q95" s="39"/>
      <c r="R95" s="93" t="n">
        <v>0.23958333333333334</v>
      </c>
      <c r="S95" s="93" t="n">
        <v>0.96875</v>
      </c>
      <c r="T95" s="39"/>
      <c r="U95" s="177" t="s">
        <v>606</v>
      </c>
      <c r="V95" s="114" t="s">
        <v>576</v>
      </c>
      <c r="W95" s="40"/>
      <c r="X95" s="82" t="n">
        <v>0.375</v>
      </c>
      <c r="Y95" s="82" t="n">
        <v>0.9930555555555556</v>
      </c>
      <c r="Z95" s="5"/>
      <c r="AA95" s="5"/>
      <c r="AB95" s="5"/>
      <c r="AC95" s="5"/>
      <c r="AD95" s="13" t="s">
        <v>545</v>
      </c>
      <c r="AE95" s="114" t="s">
        <v>542</v>
      </c>
      <c r="AF95" s="5" t="s">
        <v>425</v>
      </c>
      <c r="AG95" s="5"/>
      <c r="AH95" s="5"/>
      <c r="AI95" s="5"/>
      <c r="AJ95" s="5"/>
      <c r="AK95" s="5"/>
      <c r="AL95" s="5"/>
      <c r="AM95" s="210" t="n">
        <v>0.3194444444444444</v>
      </c>
      <c r="AN95" s="209" t="n">
        <v>0.4826388888888889</v>
      </c>
      <c r="AO95" s="2"/>
      <c r="AP95" s="2"/>
      <c r="AQ95" s="2"/>
      <c r="AR95" s="2"/>
      <c r="AS95" s="2"/>
      <c r="AT95" s="2"/>
      <c r="AU95" s="2"/>
      <c r="AV95" s="2"/>
      <c r="AW95" s="2"/>
      <c r="AX95" s="2"/>
    </row>
    <row r="96">
      <c r="B96" s="15"/>
      <c r="C96" s="202" t="s">
        <v>114</v>
      </c>
      <c r="D96" s="202"/>
      <c r="E96" s="202"/>
      <c r="F96" s="202" t="s">
        <v>114</v>
      </c>
      <c r="G96" s="202"/>
      <c r="H96" s="202"/>
      <c r="I96" s="202" t="s">
        <v>114</v>
      </c>
      <c r="J96" s="202"/>
      <c r="K96" s="202"/>
      <c r="L96" s="203" t="s">
        <v>115</v>
      </c>
      <c r="M96" s="203"/>
      <c r="N96" s="203"/>
      <c r="O96" s="203" t="s">
        <v>115</v>
      </c>
      <c r="P96" s="203"/>
      <c r="Q96" s="203"/>
      <c r="R96" s="203" t="s">
        <v>115</v>
      </c>
      <c r="S96" s="203"/>
      <c r="T96" s="203"/>
      <c r="U96" s="202" t="s">
        <v>114</v>
      </c>
      <c r="V96" s="202"/>
      <c r="W96" s="202"/>
      <c r="X96" s="203" t="s">
        <v>115</v>
      </c>
      <c r="Y96" s="203"/>
      <c r="Z96" s="203"/>
      <c r="AA96" s="203" t="s">
        <v>115</v>
      </c>
      <c r="AB96" s="203"/>
      <c r="AC96" s="203"/>
      <c r="AD96" s="203" t="s">
        <v>115</v>
      </c>
      <c r="AE96" s="203"/>
      <c r="AF96" s="203"/>
      <c r="AG96" s="203" t="s">
        <v>115</v>
      </c>
      <c r="AH96" s="203"/>
      <c r="AI96" s="203"/>
      <c r="AJ96" s="203" t="s">
        <v>115</v>
      </c>
      <c r="AK96" s="203"/>
      <c r="AL96" s="203"/>
      <c r="AM96" s="202" t="s">
        <v>114</v>
      </c>
      <c r="AN96" s="202"/>
      <c r="AO96" s="202"/>
      <c r="AP96" s="203" t="s">
        <v>115</v>
      </c>
      <c r="AQ96" s="203"/>
      <c r="AR96" s="203"/>
    </row>
    <row r="97">
      <c r="B97" s="15" t="s">
        <v>198</v>
      </c>
      <c r="C97" s="53"/>
      <c r="D97" s="75" t="n">
        <v>4.0</v>
      </c>
      <c r="E97" s="15"/>
      <c r="F97" s="15"/>
      <c r="G97" s="21" t="n">
        <v>4.0</v>
      </c>
      <c r="H97" s="15"/>
      <c r="I97" s="15"/>
      <c r="J97" s="21" t="n">
        <v>4.0</v>
      </c>
      <c r="K97" s="15"/>
      <c r="L97" s="15"/>
      <c r="M97" s="21" t="n">
        <v>-0.2</v>
      </c>
      <c r="N97" s="15"/>
      <c r="P97" s="22" t="n">
        <v>-0.2</v>
      </c>
      <c r="S97" s="22" t="n">
        <v>0.2</v>
      </c>
      <c r="U97" s="5"/>
      <c r="V97" s="204" t="n">
        <v>4.0</v>
      </c>
      <c r="W97" s="5"/>
      <c r="X97" s="5"/>
      <c r="Y97" s="204" t="n">
        <v>-0.6</v>
      </c>
      <c r="Z97" s="5"/>
      <c r="AA97" s="5"/>
      <c r="AB97" s="204" t="n">
        <v>-0.2</v>
      </c>
      <c r="AC97" s="5"/>
      <c r="AD97" s="5"/>
      <c r="AE97" s="204" t="n">
        <v>-0.6</v>
      </c>
      <c r="AF97" s="5"/>
      <c r="AG97" s="5"/>
      <c r="AH97" s="204" t="n">
        <v>-1.0</v>
      </c>
      <c r="AI97" s="5"/>
      <c r="AJ97" s="5"/>
      <c r="AK97" s="204" t="n">
        <v>-0.6</v>
      </c>
      <c r="AL97" s="5"/>
      <c r="AM97" s="5"/>
      <c r="AN97" s="22" t="n">
        <v>4.0</v>
      </c>
      <c r="AQ97" s="22" t="n">
        <v>0.2</v>
      </c>
    </row>
    <row r="98">
      <c r="B98" s="15"/>
      <c r="C98" s="53"/>
      <c r="D98" s="53"/>
      <c r="E98" s="15"/>
      <c r="F98" s="15"/>
      <c r="G98" s="15"/>
      <c r="H98" s="15"/>
      <c r="I98" s="15"/>
      <c r="J98" s="15"/>
      <c r="K98" s="15"/>
      <c r="L98" s="15"/>
      <c r="M98" s="15"/>
      <c r="N98" s="15"/>
      <c r="U98" s="5"/>
      <c r="V98" s="5"/>
      <c r="W98" s="5"/>
      <c r="X98" s="5"/>
      <c r="Y98" s="5"/>
      <c r="Z98" s="5"/>
      <c r="AA98" s="5"/>
      <c r="AB98" s="5"/>
      <c r="AC98" s="5"/>
      <c r="AD98" s="5"/>
      <c r="AE98" s="5"/>
      <c r="AF98" s="5"/>
      <c r="AG98" s="5"/>
      <c r="AH98" s="5"/>
      <c r="AI98" s="5"/>
      <c r="AJ98" s="5"/>
      <c r="AK98" s="5"/>
      <c r="AL98" s="5"/>
      <c r="AM98" s="5"/>
    </row>
    <row r="99">
      <c r="B99" s="15"/>
      <c r="C99" s="53"/>
      <c r="D99" s="53"/>
      <c r="E99" s="15"/>
      <c r="F99" s="15"/>
      <c r="G99" s="15"/>
      <c r="H99" s="15"/>
      <c r="I99" s="15"/>
      <c r="J99" s="15"/>
      <c r="K99" s="15"/>
      <c r="L99" s="15"/>
      <c r="M99" s="15"/>
      <c r="N99" s="15"/>
      <c r="U99" s="5"/>
      <c r="V99" s="5"/>
      <c r="W99" s="5"/>
      <c r="X99" s="5"/>
      <c r="Y99" s="5"/>
      <c r="Z99" s="5"/>
      <c r="AA99" s="5"/>
      <c r="AB99" s="5"/>
      <c r="AC99" s="5"/>
      <c r="AD99" s="5"/>
      <c r="AE99" s="5"/>
      <c r="AF99" s="5"/>
      <c r="AG99" s="5"/>
      <c r="AH99" s="5"/>
      <c r="AI99" s="5"/>
      <c r="AJ99" s="5"/>
      <c r="AK99" s="5"/>
      <c r="AL99" s="5"/>
      <c r="AM99" s="5"/>
    </row>
    <row r="100">
      <c r="B100" s="15"/>
      <c r="C100" s="53"/>
      <c r="D100" s="53"/>
      <c r="E100" s="15"/>
      <c r="F100" s="15"/>
      <c r="G100" s="15"/>
      <c r="H100" s="15"/>
      <c r="I100" s="15"/>
      <c r="J100" s="15"/>
      <c r="K100" s="15"/>
      <c r="L100" s="15"/>
      <c r="M100" s="15"/>
      <c r="N100" s="15"/>
      <c r="U100" s="5"/>
      <c r="V100" s="5"/>
      <c r="W100" s="5"/>
      <c r="X100" s="5"/>
      <c r="Y100" s="5"/>
      <c r="Z100" s="5"/>
      <c r="AA100" s="5"/>
      <c r="AB100" s="5"/>
      <c r="AC100" s="5"/>
      <c r="AD100" s="5"/>
      <c r="AE100" s="5"/>
      <c r="AF100" s="5"/>
      <c r="AG100" s="5"/>
      <c r="AH100" s="5"/>
      <c r="AI100" s="5"/>
      <c r="AJ100" s="5"/>
      <c r="AK100" s="5"/>
      <c r="AL100" s="5"/>
      <c r="AM100" s="5"/>
      <c r="AU100" s="2"/>
    </row>
    <row r="101">
      <c r="A101" s="1" t="s">
        <v>0</v>
      </c>
      <c r="B101" s="5" t="s">
        <v>102</v>
      </c>
      <c r="C101" s="40" t="s">
        <v>2</v>
      </c>
      <c r="D101" s="40"/>
      <c r="E101" s="40"/>
      <c r="F101" s="40" t="s">
        <v>4</v>
      </c>
      <c r="G101" s="40"/>
      <c r="H101" s="40"/>
      <c r="I101" s="40" t="s">
        <v>3</v>
      </c>
      <c r="J101" s="40"/>
      <c r="K101" s="40"/>
      <c r="L101" s="40" t="s">
        <v>35</v>
      </c>
      <c r="M101" s="40"/>
      <c r="N101" s="40"/>
      <c r="O101" s="39" t="s">
        <v>377</v>
      </c>
      <c r="P101" s="39"/>
      <c r="Q101" s="39"/>
      <c r="R101" s="39" t="s">
        <v>103</v>
      </c>
      <c r="S101" s="39"/>
      <c r="T101" s="39"/>
      <c r="U101" s="40" t="s">
        <v>566</v>
      </c>
      <c r="V101" s="40"/>
      <c r="W101" s="40"/>
      <c r="X101" s="40" t="s">
        <v>36</v>
      </c>
      <c r="Y101" s="40"/>
      <c r="Z101" s="40"/>
      <c r="AA101" s="40" t="s">
        <v>567</v>
      </c>
      <c r="AB101" s="40"/>
      <c r="AC101" s="40"/>
      <c r="AD101" s="5"/>
      <c r="AE101" s="5"/>
      <c r="AF101" s="5"/>
      <c r="AG101" s="5"/>
      <c r="AH101" s="5"/>
      <c r="AI101" s="5"/>
      <c r="AJ101" s="5"/>
      <c r="AK101" s="5"/>
      <c r="AL101" s="5"/>
      <c r="AM101" s="40"/>
      <c r="AN101" s="40"/>
      <c r="AO101" s="40"/>
      <c r="AP101" s="40"/>
      <c r="AQ101" s="40"/>
      <c r="AR101" s="40"/>
      <c r="AS101" s="40"/>
      <c r="AT101" s="40"/>
      <c r="AU101" s="40"/>
      <c r="AV101" s="40"/>
      <c r="AW101" s="40"/>
      <c r="AX101" s="40"/>
    </row>
    <row r="102" customHeight="1" ht="39.0">
      <c r="A102" s="1"/>
      <c r="B102" s="5" t="s">
        <v>406</v>
      </c>
      <c r="C102" s="40" t="s">
        <v>407</v>
      </c>
      <c r="D102" s="40" t="s">
        <v>408</v>
      </c>
      <c r="E102" s="5" t="s">
        <v>409</v>
      </c>
      <c r="F102" s="40" t="s">
        <v>407</v>
      </c>
      <c r="G102" s="40" t="s">
        <v>408</v>
      </c>
      <c r="H102" s="5" t="s">
        <v>409</v>
      </c>
      <c r="I102" s="40" t="s">
        <v>407</v>
      </c>
      <c r="J102" s="40" t="s">
        <v>408</v>
      </c>
      <c r="K102" s="5" t="s">
        <v>409</v>
      </c>
      <c r="L102" s="40" t="s">
        <v>407</v>
      </c>
      <c r="M102" s="40" t="s">
        <v>408</v>
      </c>
      <c r="N102" s="5" t="s">
        <v>409</v>
      </c>
      <c r="O102" s="40" t="s">
        <v>407</v>
      </c>
      <c r="P102" s="40" t="s">
        <v>408</v>
      </c>
      <c r="Q102" s="5" t="s">
        <v>409</v>
      </c>
      <c r="R102" s="40" t="s">
        <v>407</v>
      </c>
      <c r="S102" s="40" t="s">
        <v>408</v>
      </c>
      <c r="T102" s="5" t="s">
        <v>409</v>
      </c>
      <c r="U102" s="40" t="s">
        <v>407</v>
      </c>
      <c r="V102" s="40" t="s">
        <v>408</v>
      </c>
      <c r="W102" s="5" t="s">
        <v>409</v>
      </c>
      <c r="X102" s="40" t="s">
        <v>407</v>
      </c>
      <c r="Y102" s="40" t="s">
        <v>408</v>
      </c>
      <c r="Z102" s="5" t="s">
        <v>409</v>
      </c>
      <c r="AA102" s="40" t="s">
        <v>407</v>
      </c>
      <c r="AB102" s="40" t="s">
        <v>408</v>
      </c>
      <c r="AC102" s="5" t="s">
        <v>409</v>
      </c>
      <c r="AD102" s="40" t="s">
        <v>407</v>
      </c>
      <c r="AE102" s="40" t="s">
        <v>408</v>
      </c>
      <c r="AF102" s="5" t="s">
        <v>409</v>
      </c>
      <c r="AG102" s="5" t="s">
        <v>407</v>
      </c>
      <c r="AH102" s="5" t="s">
        <v>408</v>
      </c>
      <c r="AI102" s="5" t="s">
        <v>409</v>
      </c>
      <c r="AJ102" s="5" t="s">
        <v>407</v>
      </c>
      <c r="AK102" s="5" t="s">
        <v>408</v>
      </c>
      <c r="AL102" s="5" t="s">
        <v>409</v>
      </c>
      <c r="AM102" s="40" t="s">
        <v>407</v>
      </c>
      <c r="AN102" s="40" t="s">
        <v>408</v>
      </c>
      <c r="AO102" s="5" t="s">
        <v>409</v>
      </c>
      <c r="AP102" s="40" t="s">
        <v>407</v>
      </c>
      <c r="AQ102" s="40" t="s">
        <v>408</v>
      </c>
      <c r="AR102" s="5" t="s">
        <v>409</v>
      </c>
      <c r="AS102" s="5" t="s">
        <v>407</v>
      </c>
      <c r="AT102" s="5" t="s">
        <v>408</v>
      </c>
      <c r="AU102" s="5" t="s">
        <v>409</v>
      </c>
      <c r="AV102" s="5" t="s">
        <v>407</v>
      </c>
      <c r="AW102" s="5" t="s">
        <v>408</v>
      </c>
      <c r="AX102" s="5" t="s">
        <v>409</v>
      </c>
    </row>
    <row r="103" customHeight="1" ht="39.0">
      <c r="A103" s="1"/>
      <c r="B103" s="19" t="s">
        <v>410</v>
      </c>
      <c r="C103" s="80" t="n">
        <v>0.3541666666666667</v>
      </c>
      <c r="D103" s="80" t="n">
        <v>0.4791666666666667</v>
      </c>
      <c r="E103" s="5" t="s">
        <v>411</v>
      </c>
      <c r="F103" s="84" t="s">
        <v>607</v>
      </c>
      <c r="G103" s="83" t="s">
        <v>608</v>
      </c>
      <c r="H103" s="5"/>
      <c r="I103" s="80" t="n">
        <v>0.3541666666666667</v>
      </c>
      <c r="J103" s="80" t="n">
        <v>0.0</v>
      </c>
      <c r="K103" s="5"/>
      <c r="L103" s="1" t="s">
        <v>414</v>
      </c>
      <c r="M103" s="84" t="s">
        <v>415</v>
      </c>
      <c r="N103" s="5" t="s">
        <v>416</v>
      </c>
      <c r="O103" s="85" t="s">
        <v>609</v>
      </c>
      <c r="P103" s="85" t="s">
        <v>610</v>
      </c>
      <c r="Q103" s="1" t="s">
        <v>118</v>
      </c>
      <c r="R103" s="1" t="s">
        <v>451</v>
      </c>
      <c r="S103" s="1" t="s">
        <v>424</v>
      </c>
      <c r="T103" s="1" t="s">
        <v>611</v>
      </c>
      <c r="U103" s="87" t="s">
        <v>575</v>
      </c>
      <c r="V103" s="84" t="s">
        <v>576</v>
      </c>
      <c r="W103" s="5"/>
      <c r="X103" s="1" t="s">
        <v>453</v>
      </c>
      <c r="Y103" s="1" t="s">
        <v>449</v>
      </c>
      <c r="Z103" s="1" t="s">
        <v>454</v>
      </c>
      <c r="AA103" s="1" t="s">
        <v>414</v>
      </c>
      <c r="AB103" s="84" t="s">
        <v>500</v>
      </c>
      <c r="AC103" s="5" t="s">
        <v>416</v>
      </c>
      <c r="AD103" s="84"/>
      <c r="AE103" s="84"/>
      <c r="AF103" s="5"/>
      <c r="AG103" s="85"/>
      <c r="AH103" s="85"/>
      <c r="AI103" s="1"/>
      <c r="AJ103" s="1"/>
      <c r="AK103" s="1"/>
      <c r="AL103" s="1"/>
      <c r="AM103" s="1"/>
      <c r="AN103" s="84"/>
      <c r="AO103" s="5"/>
      <c r="AP103" s="5"/>
      <c r="AQ103" s="5"/>
      <c r="AR103" s="5"/>
      <c r="AS103" s="5"/>
      <c r="AT103" s="5"/>
      <c r="AU103" s="5"/>
      <c r="AV103" s="5"/>
      <c r="AW103" s="5"/>
      <c r="AX103" s="5"/>
    </row>
    <row r="104" customHeight="1" ht="39.0">
      <c r="A104" s="3" t="n">
        <v>44053.0</v>
      </c>
      <c r="B104" s="1" t="s">
        <v>90</v>
      </c>
      <c r="C104" s="99" t="n">
        <v>0.4375</v>
      </c>
      <c r="D104" s="99" t="n">
        <v>0.5</v>
      </c>
      <c r="E104" s="49" t="s">
        <v>425</v>
      </c>
      <c r="F104" s="83" t="s">
        <v>412</v>
      </c>
      <c r="G104" s="83" t="s">
        <v>535</v>
      </c>
      <c r="H104" s="40" t="s">
        <v>612</v>
      </c>
      <c r="I104" s="91" t="n">
        <v>0.3333333333333333</v>
      </c>
      <c r="J104" s="91" t="n">
        <v>0.4965277777777778</v>
      </c>
      <c r="K104" s="40"/>
      <c r="L104" s="82" t="n">
        <v>0.375</v>
      </c>
      <c r="M104" s="82" t="n">
        <v>0.9930555555555556</v>
      </c>
      <c r="N104" s="5"/>
      <c r="O104" s="212"/>
      <c r="P104" s="212"/>
      <c r="Q104" s="39"/>
      <c r="R104" s="107" t="s">
        <v>613</v>
      </c>
      <c r="S104" s="114" t="s">
        <v>542</v>
      </c>
      <c r="T104" s="39" t="s">
        <v>425</v>
      </c>
      <c r="U104" s="114" t="s">
        <v>614</v>
      </c>
      <c r="V104" s="114" t="s">
        <v>615</v>
      </c>
      <c r="W104" s="40"/>
      <c r="X104" s="84"/>
      <c r="Y104" s="116" t="s">
        <v>459</v>
      </c>
      <c r="Z104" s="5"/>
      <c r="AA104" s="209" t="n">
        <v>0.3333333333333333</v>
      </c>
      <c r="AB104" s="209" t="n">
        <v>0.49722222222222223</v>
      </c>
      <c r="AC104" s="5"/>
      <c r="AD104" s="84"/>
      <c r="AE104" s="84"/>
      <c r="AF104" s="5"/>
      <c r="AG104" s="84"/>
      <c r="AH104" s="84"/>
      <c r="AI104" s="5"/>
      <c r="AJ104" s="85"/>
      <c r="AK104" s="85"/>
      <c r="AL104" s="1"/>
      <c r="AM104" s="85"/>
      <c r="AN104" s="85"/>
      <c r="AO104" s="2"/>
      <c r="AP104" s="2"/>
      <c r="AQ104" s="1"/>
      <c r="AR104" s="2"/>
      <c r="AS104" s="1"/>
      <c r="AT104" s="1"/>
      <c r="AU104" s="2"/>
      <c r="AV104" s="2"/>
      <c r="AW104" s="2"/>
      <c r="AX104" s="2"/>
    </row>
    <row r="105" customHeight="1" ht="52.0">
      <c r="A105" s="3" t="n">
        <v>44054.0</v>
      </c>
      <c r="B105" s="1" t="s">
        <v>92</v>
      </c>
      <c r="C105" s="91" t="n">
        <v>0.3541666666666667</v>
      </c>
      <c r="D105" s="177" t="s">
        <v>424</v>
      </c>
      <c r="E105" s="49" t="s">
        <v>425</v>
      </c>
      <c r="F105" s="83" t="s">
        <v>549</v>
      </c>
      <c r="G105" s="84" t="s">
        <v>544</v>
      </c>
      <c r="H105" s="40" t="s">
        <v>420</v>
      </c>
      <c r="I105" s="91" t="n">
        <v>0.3402777777777778</v>
      </c>
      <c r="J105" s="93" t="n">
        <v>0.4986111111111111</v>
      </c>
      <c r="K105" s="40"/>
      <c r="L105" s="93" t="n">
        <v>0.30694444444444446</v>
      </c>
      <c r="M105" s="93" t="n">
        <v>0.9777777777777777</v>
      </c>
      <c r="N105" s="12" t="s">
        <v>420</v>
      </c>
      <c r="O105" s="212"/>
      <c r="P105" s="212"/>
      <c r="Q105" s="39"/>
      <c r="R105" s="114" t="s">
        <v>549</v>
      </c>
      <c r="S105" s="82" t="n">
        <v>0.4791666666666667</v>
      </c>
      <c r="T105" s="39" t="s">
        <v>477</v>
      </c>
      <c r="U105" s="114" t="s">
        <v>616</v>
      </c>
      <c r="V105" s="114" t="s">
        <v>615</v>
      </c>
      <c r="W105" s="40"/>
      <c r="X105" s="116" t="s">
        <v>451</v>
      </c>
      <c r="Y105" s="103" t="s">
        <v>463</v>
      </c>
      <c r="Z105" s="5"/>
      <c r="AA105" s="210" t="n">
        <v>0.3125</v>
      </c>
      <c r="AB105" s="209" t="n">
        <v>0.4791666666666667</v>
      </c>
      <c r="AC105" s="5"/>
      <c r="AD105" s="84"/>
      <c r="AE105" s="84"/>
      <c r="AF105" s="5"/>
      <c r="AG105" s="84"/>
      <c r="AH105" s="84"/>
      <c r="AI105" s="5"/>
      <c r="AJ105" s="84"/>
      <c r="AK105" s="84"/>
      <c r="AL105" s="5"/>
      <c r="AM105" s="84"/>
      <c r="AN105" s="85"/>
      <c r="AO105" s="2"/>
      <c r="AP105" s="1"/>
      <c r="AQ105" s="85"/>
      <c r="AR105" s="2"/>
      <c r="AS105" s="1"/>
      <c r="AT105" s="1"/>
      <c r="AU105" s="2"/>
      <c r="AV105" s="2"/>
      <c r="AW105" s="2"/>
      <c r="AX105" s="2"/>
    </row>
    <row r="106" customHeight="1" ht="52.0">
      <c r="A106" s="3" t="n">
        <v>44055.0</v>
      </c>
      <c r="B106" s="1" t="s">
        <v>94</v>
      </c>
      <c r="C106" s="91" t="n">
        <v>0.3541666666666667</v>
      </c>
      <c r="D106" s="91" t="n">
        <v>0.4652777777777778</v>
      </c>
      <c r="E106" s="49" t="s">
        <v>425</v>
      </c>
      <c r="F106" s="83" t="s">
        <v>412</v>
      </c>
      <c r="G106" s="83" t="s">
        <v>563</v>
      </c>
      <c r="H106" s="40" t="s">
        <v>612</v>
      </c>
      <c r="I106" s="91" t="n">
        <v>0.3402777777777778</v>
      </c>
      <c r="J106" s="99" t="n">
        <v>0.003472222222222222</v>
      </c>
      <c r="K106" s="40"/>
      <c r="L106" s="82" t="n">
        <v>0.4305555555555556</v>
      </c>
      <c r="M106" s="109" t="n">
        <v>0.9756944444444444</v>
      </c>
      <c r="N106" s="12" t="s">
        <v>420</v>
      </c>
      <c r="O106" s="212"/>
      <c r="P106" s="212"/>
      <c r="Q106" s="39"/>
      <c r="R106" s="82" t="n">
        <v>0.3402777777777778</v>
      </c>
      <c r="S106" s="82" t="n">
        <v>0.4861111111111111</v>
      </c>
      <c r="T106" s="39" t="s">
        <v>425</v>
      </c>
      <c r="U106" s="114" t="s">
        <v>617</v>
      </c>
      <c r="V106" s="12" t="s">
        <v>576</v>
      </c>
      <c r="W106" s="40"/>
      <c r="X106" s="103" t="s">
        <v>467</v>
      </c>
      <c r="Y106" s="103" t="s">
        <v>427</v>
      </c>
      <c r="Z106" s="5" t="s">
        <v>468</v>
      </c>
      <c r="AA106" s="213" t="n">
        <v>0.3333333333333333</v>
      </c>
      <c r="AB106" s="209" t="n">
        <v>0.5</v>
      </c>
      <c r="AC106" s="5"/>
      <c r="AD106" s="5"/>
      <c r="AE106" s="84"/>
      <c r="AF106" s="5"/>
      <c r="AG106" s="84"/>
      <c r="AH106" s="84"/>
      <c r="AI106" s="5"/>
      <c r="AJ106" s="5"/>
      <c r="AK106" s="5"/>
      <c r="AL106" s="5"/>
      <c r="AM106" s="84"/>
      <c r="AN106" s="85"/>
      <c r="AO106" s="2"/>
      <c r="AP106" s="85"/>
      <c r="AQ106" s="1"/>
      <c r="AR106" s="2"/>
      <c r="AS106" s="1"/>
      <c r="AT106" s="1"/>
      <c r="AU106" s="2"/>
      <c r="AV106" s="2"/>
      <c r="AW106" s="2"/>
      <c r="AX106" s="2"/>
    </row>
    <row r="107" customHeight="1" ht="52.0">
      <c r="A107" s="3" t="n">
        <v>44056.0</v>
      </c>
      <c r="B107" s="1" t="s">
        <v>96</v>
      </c>
      <c r="C107" s="91" t="n">
        <v>0.3541666666666667</v>
      </c>
      <c r="D107" s="91" t="n">
        <v>0.4375</v>
      </c>
      <c r="E107" s="40" t="s">
        <v>618</v>
      </c>
      <c r="F107" s="83" t="s">
        <v>421</v>
      </c>
      <c r="G107" s="83" t="s">
        <v>619</v>
      </c>
      <c r="H107" s="214" t="n">
        <v>0.0</v>
      </c>
      <c r="I107" s="91" t="n">
        <v>0.3402777777777778</v>
      </c>
      <c r="J107" s="93" t="n">
        <v>0.4930555555555556</v>
      </c>
      <c r="K107" s="40"/>
      <c r="L107" s="84" t="s">
        <v>620</v>
      </c>
      <c r="M107" s="93" t="n">
        <v>0.9777777777777777</v>
      </c>
      <c r="N107" s="12" t="s">
        <v>420</v>
      </c>
      <c r="O107" s="212"/>
      <c r="P107" s="39"/>
      <c r="Q107" s="39"/>
      <c r="R107" s="82" t="n">
        <v>0.3263888888888889</v>
      </c>
      <c r="S107" s="82" t="n">
        <v>0.4930555555555556</v>
      </c>
      <c r="T107" s="39" t="s">
        <v>425</v>
      </c>
      <c r="U107" s="215" t="s">
        <v>621</v>
      </c>
      <c r="V107" s="177" t="s">
        <v>615</v>
      </c>
      <c r="W107" s="40"/>
      <c r="X107" s="116" t="s">
        <v>588</v>
      </c>
      <c r="Y107" s="103" t="s">
        <v>463</v>
      </c>
      <c r="Z107" s="5"/>
      <c r="AA107" s="210" t="n">
        <v>0.3333333333333333</v>
      </c>
      <c r="AB107" s="88" t="n">
        <v>0.5208333333333334</v>
      </c>
      <c r="AC107" s="5"/>
      <c r="AD107" s="5"/>
      <c r="AE107" s="84"/>
      <c r="AF107" s="5"/>
      <c r="AG107" s="84"/>
      <c r="AH107" s="5"/>
      <c r="AI107" s="5"/>
      <c r="AJ107" s="5"/>
      <c r="AK107" s="5"/>
      <c r="AL107" s="5"/>
      <c r="AM107" s="84"/>
      <c r="AN107" s="85"/>
      <c r="AO107" s="2"/>
      <c r="AP107" s="1"/>
      <c r="AQ107" s="1"/>
      <c r="AR107" s="2"/>
      <c r="AS107" s="1"/>
      <c r="AT107" s="1"/>
      <c r="AU107" s="2"/>
      <c r="AV107" s="2"/>
      <c r="AW107" s="2"/>
      <c r="AX107" s="2"/>
    </row>
    <row r="108" customHeight="1" ht="52.0">
      <c r="A108" s="3" t="n">
        <v>44057.0</v>
      </c>
      <c r="B108" s="1" t="s">
        <v>98</v>
      </c>
      <c r="C108" s="91" t="n">
        <v>0.3541666666666667</v>
      </c>
      <c r="D108" s="80" t="n">
        <v>0.4583333333333333</v>
      </c>
      <c r="E108" s="40" t="s">
        <v>425</v>
      </c>
      <c r="F108" s="83" t="s">
        <v>622</v>
      </c>
      <c r="G108" s="84" t="s">
        <v>623</v>
      </c>
      <c r="H108" s="214" t="n">
        <v>0.0</v>
      </c>
      <c r="I108" s="91" t="n">
        <v>0.3402777777777778</v>
      </c>
      <c r="J108" s="93" t="n">
        <v>0.4791666666666667</v>
      </c>
      <c r="K108" s="40"/>
      <c r="L108" s="82" t="n">
        <v>0.3388888888888889</v>
      </c>
      <c r="M108" s="174" t="n">
        <v>0.013888888888888888</v>
      </c>
      <c r="N108" s="12" t="s">
        <v>420</v>
      </c>
      <c r="O108" s="212"/>
      <c r="P108" s="39"/>
      <c r="Q108" s="39"/>
      <c r="R108" s="82" t="n">
        <v>0.1875</v>
      </c>
      <c r="S108" s="82" t="n">
        <v>0.4722222222222222</v>
      </c>
      <c r="T108" s="39" t="s">
        <v>118</v>
      </c>
      <c r="U108" s="114" t="s">
        <v>624</v>
      </c>
      <c r="V108" s="177" t="s">
        <v>615</v>
      </c>
      <c r="W108" s="40"/>
      <c r="X108" s="116" t="s">
        <v>451</v>
      </c>
      <c r="Y108" s="117" t="n">
        <v>0.5</v>
      </c>
      <c r="Z108" s="5"/>
      <c r="AA108" s="108" t="n">
        <v>0.3597222222222222</v>
      </c>
      <c r="AB108" s="209" t="n">
        <v>0.4861111111111111</v>
      </c>
      <c r="AC108" s="5"/>
      <c r="AD108" s="84"/>
      <c r="AE108" s="5"/>
      <c r="AF108" s="5"/>
      <c r="AG108" s="5"/>
      <c r="AH108" s="5"/>
      <c r="AI108" s="5"/>
      <c r="AJ108" s="84"/>
      <c r="AK108" s="84"/>
      <c r="AL108" s="5"/>
      <c r="AM108" s="84"/>
      <c r="AN108" s="85"/>
      <c r="AO108" s="2"/>
      <c r="AP108" s="1"/>
      <c r="AQ108" s="2"/>
      <c r="AR108" s="2"/>
      <c r="AS108" s="1"/>
      <c r="AT108" s="1"/>
      <c r="AU108" s="2"/>
      <c r="AV108" s="2"/>
      <c r="AW108" s="2"/>
      <c r="AX108" s="2"/>
    </row>
    <row r="109" customHeight="1" ht="52.0">
      <c r="A109" s="3" t="n">
        <v>44058.0</v>
      </c>
      <c r="B109" s="1" t="s">
        <v>100</v>
      </c>
      <c r="C109" s="83"/>
      <c r="D109" s="83"/>
      <c r="E109" s="40"/>
      <c r="F109" s="83" t="s">
        <v>560</v>
      </c>
      <c r="G109" s="84" t="s">
        <v>546</v>
      </c>
      <c r="H109" s="40"/>
      <c r="I109" s="91" t="n">
        <v>0.3263888888888889</v>
      </c>
      <c r="J109" s="91" t="n">
        <v>0.4895833333333333</v>
      </c>
      <c r="K109" s="40"/>
      <c r="L109" s="109" t="n">
        <v>0.33194444444444443</v>
      </c>
      <c r="M109" s="93" t="n">
        <v>0.9652777777777778</v>
      </c>
      <c r="N109" s="12" t="s">
        <v>420</v>
      </c>
      <c r="O109" s="212"/>
      <c r="P109" s="212"/>
      <c r="Q109" s="39"/>
      <c r="R109" s="82" t="n">
        <v>0.3333333333333333</v>
      </c>
      <c r="S109" s="82" t="n">
        <v>0.4791666666666667</v>
      </c>
      <c r="T109" s="39" t="s">
        <v>118</v>
      </c>
      <c r="U109" s="114" t="s">
        <v>625</v>
      </c>
      <c r="V109" s="177" t="s">
        <v>615</v>
      </c>
      <c r="W109" s="40"/>
      <c r="X109" s="117" t="n">
        <v>0.3333333333333333</v>
      </c>
      <c r="Y109" s="117" t="n">
        <v>0.5</v>
      </c>
      <c r="Z109" s="5"/>
      <c r="AA109" s="213" t="n">
        <v>0.3229166666666667</v>
      </c>
      <c r="AB109" s="216" t="n">
        <v>0.4791666666666667</v>
      </c>
      <c r="AC109" s="5"/>
      <c r="AD109" s="5"/>
      <c r="AE109" s="84"/>
      <c r="AF109" s="5"/>
      <c r="AG109" s="5"/>
      <c r="AH109" s="5"/>
      <c r="AI109" s="5"/>
      <c r="AJ109" s="5"/>
      <c r="AK109" s="5"/>
      <c r="AL109" s="5"/>
      <c r="AM109" s="84"/>
      <c r="AN109" s="85"/>
      <c r="AO109" s="2"/>
      <c r="AP109" s="2"/>
      <c r="AQ109" s="2"/>
      <c r="AR109" s="2"/>
      <c r="AS109" s="1"/>
      <c r="AT109" s="1"/>
      <c r="AU109" s="2"/>
      <c r="AV109" s="2"/>
      <c r="AW109" s="2"/>
      <c r="AX109" s="2"/>
    </row>
    <row r="110" customHeight="1" ht="52.0">
      <c r="A110" s="3" t="n">
        <v>44059.0</v>
      </c>
      <c r="B110" s="1" t="s">
        <v>101</v>
      </c>
      <c r="C110" s="83"/>
      <c r="D110" s="83"/>
      <c r="E110" s="40"/>
      <c r="F110" s="83" t="s">
        <v>626</v>
      </c>
      <c r="G110" s="83" t="s">
        <v>627</v>
      </c>
      <c r="H110" s="40"/>
      <c r="I110" s="91" t="n">
        <v>0.3333333333333333</v>
      </c>
      <c r="J110" s="91" t="n">
        <v>0.4979166666666667</v>
      </c>
      <c r="K110" s="40"/>
      <c r="L110" s="93" t="n">
        <v>0.3125</v>
      </c>
      <c r="M110" s="109" t="n">
        <v>0.9722222222222222</v>
      </c>
      <c r="N110" s="12" t="s">
        <v>420</v>
      </c>
      <c r="O110" s="212"/>
      <c r="P110" s="212"/>
      <c r="Q110" s="39"/>
      <c r="R110" s="82" t="n">
        <v>0.23958333333333334</v>
      </c>
      <c r="S110" s="82" t="n">
        <v>0.4722222222222222</v>
      </c>
      <c r="T110" s="39" t="s">
        <v>118</v>
      </c>
      <c r="U110" s="114" t="s">
        <v>428</v>
      </c>
      <c r="V110" s="84"/>
      <c r="W110" s="40"/>
      <c r="X110" s="117" t="n">
        <v>0.3333333333333333</v>
      </c>
      <c r="Y110" s="84"/>
      <c r="Z110" s="5"/>
      <c r="AA110" s="210" t="n">
        <v>0.3194444444444444</v>
      </c>
      <c r="AB110" s="209" t="n">
        <v>0.4826388888888889</v>
      </c>
      <c r="AC110" s="5"/>
      <c r="AD110" s="5"/>
      <c r="AE110" s="84"/>
      <c r="AF110" s="5"/>
      <c r="AG110" s="5"/>
      <c r="AH110" s="5"/>
      <c r="AI110" s="5"/>
      <c r="AJ110" s="5"/>
      <c r="AK110" s="5"/>
      <c r="AL110" s="5"/>
      <c r="AM110" s="84"/>
      <c r="AN110" s="85"/>
      <c r="AO110" s="2"/>
      <c r="AP110" s="2"/>
      <c r="AQ110" s="2"/>
      <c r="AR110" s="2"/>
      <c r="AS110" s="2"/>
      <c r="AT110" s="2"/>
      <c r="AU110" s="2"/>
      <c r="AV110" s="2"/>
      <c r="AW110" s="2"/>
      <c r="AX110" s="2"/>
    </row>
    <row r="111">
      <c r="B111" s="15"/>
      <c r="C111" s="53"/>
      <c r="D111" s="53"/>
      <c r="E111" s="15"/>
      <c r="F111" s="15"/>
      <c r="G111" s="15"/>
      <c r="H111" s="15"/>
      <c r="I111" s="15"/>
      <c r="J111" s="15"/>
      <c r="K111" s="15"/>
      <c r="L111" s="15"/>
      <c r="M111" s="15"/>
      <c r="N111" s="15"/>
      <c r="U111" s="5"/>
      <c r="V111" s="5"/>
      <c r="W111" s="5"/>
      <c r="X111" s="5"/>
      <c r="Y111" s="5"/>
      <c r="Z111" s="5"/>
      <c r="AA111" s="5"/>
      <c r="AB111" s="5"/>
      <c r="AC111" s="5"/>
      <c r="AD111" s="5"/>
      <c r="AE111" s="5"/>
      <c r="AF111" s="5"/>
      <c r="AG111" s="5"/>
      <c r="AH111" s="5"/>
      <c r="AI111" s="5"/>
      <c r="AJ111" s="5"/>
      <c r="AK111" s="5"/>
      <c r="AL111" s="5"/>
      <c r="AM111" s="5"/>
    </row>
    <row r="112">
      <c r="B112" s="15"/>
      <c r="C112" s="53"/>
      <c r="D112" s="53"/>
      <c r="E112" s="15"/>
      <c r="F112" s="15"/>
      <c r="G112" s="15"/>
      <c r="H112" s="15"/>
      <c r="I112" s="15"/>
      <c r="J112" s="15"/>
      <c r="K112" s="15"/>
      <c r="L112" s="15"/>
      <c r="M112" s="15"/>
      <c r="N112" s="15"/>
      <c r="U112" s="5"/>
      <c r="V112" s="5"/>
      <c r="W112" s="5"/>
      <c r="X112" s="5"/>
      <c r="Y112" s="5"/>
      <c r="Z112" s="5"/>
      <c r="AA112" s="5"/>
      <c r="AB112" s="5"/>
      <c r="AC112" s="5"/>
      <c r="AD112" s="5"/>
      <c r="AE112" s="5"/>
      <c r="AF112" s="5"/>
      <c r="AG112" s="5"/>
      <c r="AH112" s="5"/>
      <c r="AI112" s="5"/>
      <c r="AJ112" s="5"/>
      <c r="AK112" s="5"/>
      <c r="AL112" s="5"/>
      <c r="AM112" s="5"/>
    </row>
    <row r="113">
      <c r="B113" s="15"/>
      <c r="C113" s="53"/>
      <c r="D113" s="53"/>
      <c r="E113" s="15"/>
      <c r="F113" s="15"/>
      <c r="G113" s="15"/>
      <c r="H113" s="15"/>
      <c r="I113" s="15"/>
      <c r="J113" s="15"/>
      <c r="K113" s="15"/>
      <c r="L113" s="15"/>
      <c r="M113" s="15"/>
      <c r="N113" s="15"/>
      <c r="U113" s="5"/>
      <c r="V113" s="5"/>
      <c r="W113" s="5"/>
      <c r="X113" s="5"/>
      <c r="Y113" s="5"/>
      <c r="Z113" s="5"/>
      <c r="AA113" s="5"/>
      <c r="AB113" s="5"/>
      <c r="AC113" s="5"/>
      <c r="AD113" s="5"/>
      <c r="AE113" s="5"/>
      <c r="AF113" s="5"/>
      <c r="AG113" s="5"/>
      <c r="AH113" s="5"/>
      <c r="AI113" s="5"/>
      <c r="AJ113" s="5"/>
      <c r="AK113" s="5"/>
      <c r="AL113" s="5"/>
      <c r="AM113" s="5"/>
    </row>
    <row r="114">
      <c r="A114" s="1" t="s">
        <v>0</v>
      </c>
      <c r="B114" s="5" t="s">
        <v>102</v>
      </c>
      <c r="C114" s="40" t="s">
        <v>2</v>
      </c>
      <c r="D114" s="40"/>
      <c r="E114" s="40"/>
      <c r="F114" s="40" t="s">
        <v>35</v>
      </c>
      <c r="G114" s="40"/>
      <c r="H114" s="40"/>
      <c r="I114" s="40" t="s">
        <v>3</v>
      </c>
      <c r="J114" s="40"/>
      <c r="K114" s="40"/>
      <c r="L114" s="40" t="s">
        <v>4</v>
      </c>
      <c r="M114" s="40"/>
      <c r="N114" s="40"/>
      <c r="O114" s="39" t="s">
        <v>103</v>
      </c>
      <c r="P114" s="39"/>
      <c r="Q114" s="39"/>
      <c r="R114" s="39" t="s">
        <v>230</v>
      </c>
      <c r="S114" s="39"/>
      <c r="T114" s="39"/>
      <c r="U114" s="40" t="s">
        <v>567</v>
      </c>
      <c r="V114" s="40"/>
      <c r="W114" s="40"/>
      <c r="X114" s="40"/>
      <c r="Y114" s="40"/>
      <c r="Z114" s="40"/>
      <c r="AA114" s="5"/>
      <c r="AB114" s="5"/>
      <c r="AC114" s="5"/>
      <c r="AD114" s="5"/>
      <c r="AE114" s="5"/>
      <c r="AF114" s="5"/>
      <c r="AG114" s="5"/>
      <c r="AH114" s="5"/>
      <c r="AI114" s="5"/>
      <c r="AJ114" s="5"/>
      <c r="AK114" s="5"/>
      <c r="AL114" s="5"/>
      <c r="AM114" s="40"/>
      <c r="AN114" s="40"/>
      <c r="AO114" s="40"/>
      <c r="AP114" s="40"/>
      <c r="AQ114" s="40"/>
      <c r="AR114" s="40"/>
      <c r="AS114" s="40"/>
      <c r="AT114" s="40"/>
      <c r="AU114" s="40"/>
      <c r="AV114" s="40"/>
      <c r="AW114" s="40"/>
      <c r="AX114" s="40"/>
    </row>
    <row r="115" customHeight="1" ht="39.0">
      <c r="A115" s="1"/>
      <c r="B115" s="5" t="s">
        <v>406</v>
      </c>
      <c r="C115" s="40" t="s">
        <v>407</v>
      </c>
      <c r="D115" s="40" t="s">
        <v>408</v>
      </c>
      <c r="E115" s="5" t="s">
        <v>409</v>
      </c>
      <c r="F115" s="40" t="s">
        <v>407</v>
      </c>
      <c r="G115" s="40" t="s">
        <v>408</v>
      </c>
      <c r="H115" s="5" t="s">
        <v>409</v>
      </c>
      <c r="I115" s="40" t="s">
        <v>407</v>
      </c>
      <c r="J115" s="40" t="s">
        <v>408</v>
      </c>
      <c r="K115" s="5" t="s">
        <v>409</v>
      </c>
      <c r="L115" s="40" t="s">
        <v>407</v>
      </c>
      <c r="M115" s="40" t="s">
        <v>408</v>
      </c>
      <c r="N115" s="5" t="s">
        <v>409</v>
      </c>
      <c r="O115" s="40" t="s">
        <v>407</v>
      </c>
      <c r="P115" s="40" t="s">
        <v>408</v>
      </c>
      <c r="Q115" s="5" t="s">
        <v>409</v>
      </c>
      <c r="R115" s="40" t="s">
        <v>407</v>
      </c>
      <c r="S115" s="40" t="s">
        <v>408</v>
      </c>
      <c r="T115" s="5" t="s">
        <v>409</v>
      </c>
      <c r="U115" s="40" t="s">
        <v>407</v>
      </c>
      <c r="V115" s="40" t="s">
        <v>408</v>
      </c>
      <c r="W115" s="5" t="s">
        <v>409</v>
      </c>
      <c r="X115" s="40" t="s">
        <v>407</v>
      </c>
      <c r="Y115" s="40" t="s">
        <v>408</v>
      </c>
      <c r="Z115" s="5" t="s">
        <v>409</v>
      </c>
      <c r="AA115" s="40" t="s">
        <v>407</v>
      </c>
      <c r="AB115" s="40" t="s">
        <v>408</v>
      </c>
      <c r="AC115" s="5" t="s">
        <v>409</v>
      </c>
      <c r="AD115" s="40" t="s">
        <v>407</v>
      </c>
      <c r="AE115" s="40" t="s">
        <v>408</v>
      </c>
      <c r="AF115" s="5" t="s">
        <v>409</v>
      </c>
      <c r="AG115" s="5" t="s">
        <v>407</v>
      </c>
      <c r="AH115" s="5" t="s">
        <v>408</v>
      </c>
      <c r="AI115" s="5" t="s">
        <v>409</v>
      </c>
      <c r="AJ115" s="5" t="s">
        <v>407</v>
      </c>
      <c r="AK115" s="5" t="s">
        <v>408</v>
      </c>
      <c r="AL115" s="5" t="s">
        <v>409</v>
      </c>
      <c r="AM115" s="40" t="s">
        <v>407</v>
      </c>
      <c r="AN115" s="40" t="s">
        <v>408</v>
      </c>
      <c r="AO115" s="5" t="s">
        <v>409</v>
      </c>
      <c r="AP115" s="40" t="s">
        <v>407</v>
      </c>
      <c r="AQ115" s="40" t="s">
        <v>408</v>
      </c>
      <c r="AR115" s="5" t="s">
        <v>409</v>
      </c>
      <c r="AS115" s="5" t="s">
        <v>407</v>
      </c>
      <c r="AT115" s="5" t="s">
        <v>408</v>
      </c>
      <c r="AU115" s="5" t="s">
        <v>409</v>
      </c>
      <c r="AV115" s="5" t="s">
        <v>407</v>
      </c>
      <c r="AW115" s="5" t="s">
        <v>408</v>
      </c>
      <c r="AX115" s="5" t="s">
        <v>409</v>
      </c>
    </row>
    <row r="116" customHeight="1" ht="39.0">
      <c r="A116" s="1"/>
      <c r="B116" s="19" t="s">
        <v>410</v>
      </c>
      <c r="C116" s="83" t="s">
        <v>514</v>
      </c>
      <c r="D116" s="83" t="s">
        <v>424</v>
      </c>
      <c r="E116" s="5" t="s">
        <v>420</v>
      </c>
      <c r="F116" s="1" t="s">
        <v>414</v>
      </c>
      <c r="G116" s="84" t="s">
        <v>415</v>
      </c>
      <c r="H116" s="5" t="s">
        <v>416</v>
      </c>
      <c r="I116" s="80" t="n">
        <v>0.3541666666666667</v>
      </c>
      <c r="J116" s="80" t="n">
        <v>0.0</v>
      </c>
      <c r="K116" s="5"/>
      <c r="L116" s="1" t="s">
        <v>607</v>
      </c>
      <c r="M116" s="84" t="s">
        <v>628</v>
      </c>
      <c r="N116" s="5"/>
      <c r="O116" s="85" t="s">
        <v>607</v>
      </c>
      <c r="P116" s="85" t="s">
        <v>629</v>
      </c>
      <c r="Q116" s="1"/>
      <c r="R116" s="81" t="n">
        <v>0.3125</v>
      </c>
      <c r="S116" s="81" t="n">
        <v>0.5</v>
      </c>
      <c r="T116" s="1" t="s">
        <v>420</v>
      </c>
      <c r="U116" s="1" t="s">
        <v>414</v>
      </c>
      <c r="V116" s="84" t="s">
        <v>500</v>
      </c>
      <c r="W116" s="5" t="s">
        <v>416</v>
      </c>
      <c r="X116" s="1"/>
      <c r="Y116" s="1"/>
      <c r="Z116" s="1"/>
      <c r="AA116" s="5"/>
      <c r="AB116" s="5"/>
      <c r="AC116" s="5"/>
      <c r="AD116" s="84"/>
      <c r="AE116" s="84"/>
      <c r="AF116" s="5"/>
      <c r="AG116" s="85"/>
      <c r="AH116" s="85"/>
      <c r="AI116" s="1"/>
      <c r="AJ116" s="1"/>
      <c r="AK116" s="1"/>
      <c r="AL116" s="1"/>
      <c r="AM116" s="1"/>
      <c r="AN116" s="84"/>
      <c r="AO116" s="5"/>
      <c r="AP116" s="5"/>
      <c r="AQ116" s="5"/>
      <c r="AR116" s="5"/>
      <c r="AS116" s="5"/>
      <c r="AT116" s="5"/>
      <c r="AU116" s="5"/>
      <c r="AV116" s="5"/>
      <c r="AW116" s="5"/>
      <c r="AX116" s="5"/>
    </row>
    <row r="117" customHeight="1" ht="39.0">
      <c r="A117" s="3" t="n">
        <v>44060.0</v>
      </c>
      <c r="B117" s="5" t="s">
        <v>90</v>
      </c>
      <c r="C117" s="83" t="s">
        <v>467</v>
      </c>
      <c r="D117" s="83" t="s">
        <v>630</v>
      </c>
      <c r="E117" s="40" t="s">
        <v>425</v>
      </c>
      <c r="F117" s="83" t="s">
        <v>511</v>
      </c>
      <c r="G117" s="80" t="n">
        <v>0.125</v>
      </c>
      <c r="H117" s="40" t="s">
        <v>420</v>
      </c>
      <c r="I117" s="91" t="n">
        <v>0.3402777777777778</v>
      </c>
      <c r="J117" s="91" t="n">
        <v>0.4965277777777778</v>
      </c>
      <c r="K117" s="40"/>
      <c r="L117" s="84" t="s">
        <v>457</v>
      </c>
      <c r="M117" s="84" t="s">
        <v>627</v>
      </c>
      <c r="N117" s="5"/>
      <c r="O117" s="212"/>
      <c r="P117" s="212"/>
      <c r="Q117" s="39" t="s">
        <v>118</v>
      </c>
      <c r="R117" s="82" t="n">
        <v>0.3125</v>
      </c>
      <c r="S117" s="82" t="n">
        <v>0.4861111111111111</v>
      </c>
      <c r="T117" s="39" t="s">
        <v>420</v>
      </c>
      <c r="U117" s="217" t="n">
        <v>0.3333333333333333</v>
      </c>
      <c r="V117" s="218" t="n">
        <v>0.4930555555555556</v>
      </c>
      <c r="W117" s="40"/>
      <c r="X117" s="84"/>
      <c r="Y117" s="5"/>
      <c r="Z117" s="5"/>
      <c r="AA117" s="5"/>
      <c r="AB117" s="5"/>
      <c r="AC117" s="5"/>
      <c r="AD117" s="84"/>
      <c r="AE117" s="84"/>
      <c r="AF117" s="5"/>
      <c r="AG117" s="84"/>
      <c r="AH117" s="84"/>
      <c r="AI117" s="5"/>
      <c r="AJ117" s="85"/>
      <c r="AK117" s="85"/>
      <c r="AL117" s="1"/>
      <c r="AM117" s="85"/>
      <c r="AN117" s="85"/>
      <c r="AO117" s="2"/>
      <c r="AP117" s="2"/>
      <c r="AQ117" s="1"/>
      <c r="AR117" s="2"/>
      <c r="AS117" s="1"/>
      <c r="AT117" s="1"/>
      <c r="AU117" s="2"/>
      <c r="AV117" s="2"/>
      <c r="AW117" s="2"/>
      <c r="AX117" s="2"/>
    </row>
    <row r="118" customHeight="1" ht="52.0">
      <c r="A118" s="3" t="n">
        <v>44061.0</v>
      </c>
      <c r="B118" s="5" t="s">
        <v>92</v>
      </c>
      <c r="C118" s="82" t="n">
        <v>0.3541666666666667</v>
      </c>
      <c r="D118" s="82" t="n">
        <v>0.4652777777777778</v>
      </c>
      <c r="E118" s="40" t="s">
        <v>477</v>
      </c>
      <c r="F118" s="80" t="n">
        <v>0.3541666666666667</v>
      </c>
      <c r="G118" s="82" t="n">
        <v>0.041666666666666664</v>
      </c>
      <c r="H118" s="40" t="s">
        <v>420</v>
      </c>
      <c r="I118" s="99" t="n">
        <v>0.3611111111111111</v>
      </c>
      <c r="J118" s="101" t="n">
        <v>6.944444444444445E-4</v>
      </c>
      <c r="K118" s="40"/>
      <c r="L118" s="84" t="s">
        <v>466</v>
      </c>
      <c r="M118" s="84" t="s">
        <v>619</v>
      </c>
      <c r="N118" s="5"/>
      <c r="O118" s="212" t="s">
        <v>465</v>
      </c>
      <c r="P118" s="212" t="s">
        <v>474</v>
      </c>
      <c r="Q118" s="39" t="s">
        <v>118</v>
      </c>
      <c r="R118" s="82" t="n">
        <v>0.3125</v>
      </c>
      <c r="S118" s="82" t="n">
        <v>0.5388888888888889</v>
      </c>
      <c r="T118" s="39" t="s">
        <v>420</v>
      </c>
      <c r="U118" s="219" t="n">
        <v>0.3263888888888889</v>
      </c>
      <c r="V118" s="217" t="n">
        <v>0.4791666666666667</v>
      </c>
      <c r="W118" s="40"/>
      <c r="X118" s="5"/>
      <c r="Y118" s="5"/>
      <c r="Z118" s="5"/>
      <c r="AA118" s="5"/>
      <c r="AB118" s="5"/>
      <c r="AC118" s="5"/>
      <c r="AD118" s="84"/>
      <c r="AE118" s="84"/>
      <c r="AF118" s="5"/>
      <c r="AG118" s="84"/>
      <c r="AH118" s="84"/>
      <c r="AI118" s="5"/>
      <c r="AJ118" s="84"/>
      <c r="AK118" s="84"/>
      <c r="AL118" s="5"/>
      <c r="AM118" s="84"/>
      <c r="AN118" s="85"/>
      <c r="AO118" s="2"/>
      <c r="AP118" s="1"/>
      <c r="AQ118" s="85"/>
      <c r="AR118" s="2"/>
      <c r="AS118" s="1"/>
      <c r="AT118" s="1"/>
      <c r="AU118" s="2"/>
      <c r="AV118" s="2"/>
      <c r="AW118" s="2"/>
      <c r="AX118" s="2"/>
    </row>
    <row r="119" customHeight="1" ht="52.0">
      <c r="A119" s="3" t="n">
        <v>44062.0</v>
      </c>
      <c r="B119" s="5" t="s">
        <v>94</v>
      </c>
      <c r="C119" s="101" t="n">
        <v>0.375</v>
      </c>
      <c r="D119" s="82" t="n">
        <v>0.4583333333333333</v>
      </c>
      <c r="E119" s="40" t="s">
        <v>477</v>
      </c>
      <c r="F119" s="80" t="n">
        <v>0.3541666666666667</v>
      </c>
      <c r="G119" s="80" t="n">
        <v>0.020833333333333332</v>
      </c>
      <c r="H119" s="40" t="s">
        <v>420</v>
      </c>
      <c r="I119" s="91" t="n">
        <v>0.3263888888888889</v>
      </c>
      <c r="J119" s="91" t="n">
        <v>0.4895833333333333</v>
      </c>
      <c r="K119" s="40"/>
      <c r="L119" s="84" t="s">
        <v>556</v>
      </c>
      <c r="M119" s="87" t="s">
        <v>429</v>
      </c>
      <c r="N119" s="5"/>
      <c r="O119" s="220" t="n">
        <v>0.3611111111111111</v>
      </c>
      <c r="P119" s="220" t="n">
        <v>0.5</v>
      </c>
      <c r="Q119" s="39" t="s">
        <v>118</v>
      </c>
      <c r="R119" s="82" t="n">
        <v>0.3020833333333333</v>
      </c>
      <c r="S119" s="82" t="n">
        <v>0.5409722222222222</v>
      </c>
      <c r="T119" s="39" t="s">
        <v>425</v>
      </c>
      <c r="U119" s="221" t="n">
        <v>0.3402777777777778</v>
      </c>
      <c r="V119" s="218" t="n">
        <v>0.4583333333333333</v>
      </c>
      <c r="W119" s="40"/>
      <c r="X119" s="5"/>
      <c r="Y119" s="5"/>
      <c r="Z119" s="5"/>
      <c r="AA119" s="5"/>
      <c r="AB119" s="5"/>
      <c r="AC119" s="5"/>
      <c r="AD119" s="5"/>
      <c r="AE119" s="84"/>
      <c r="AF119" s="5"/>
      <c r="AG119" s="84"/>
      <c r="AH119" s="84"/>
      <c r="AI119" s="5"/>
      <c r="AJ119" s="5"/>
      <c r="AK119" s="5"/>
      <c r="AL119" s="5"/>
      <c r="AM119" s="84"/>
      <c r="AN119" s="85"/>
      <c r="AO119" s="2"/>
      <c r="AP119" s="85"/>
      <c r="AQ119" s="1"/>
      <c r="AR119" s="2"/>
      <c r="AS119" s="1"/>
      <c r="AT119" s="1"/>
      <c r="AU119" s="2"/>
      <c r="AV119" s="2"/>
      <c r="AW119" s="2"/>
      <c r="AX119" s="2"/>
    </row>
    <row r="120" customHeight="1" ht="52.0">
      <c r="A120" s="3" t="n">
        <v>44063.0</v>
      </c>
      <c r="B120" s="5" t="s">
        <v>96</v>
      </c>
      <c r="C120" s="82" t="n">
        <v>0.3541666666666667</v>
      </c>
      <c r="D120" s="82" t="n">
        <v>0.4791666666666667</v>
      </c>
      <c r="E120" s="40" t="s">
        <v>417</v>
      </c>
      <c r="F120" s="80" t="n">
        <v>0.3958333333333333</v>
      </c>
      <c r="G120" s="80" t="n">
        <v>0.9694444444444444</v>
      </c>
      <c r="H120" s="40" t="s">
        <v>420</v>
      </c>
      <c r="I120" s="91" t="n">
        <v>0.34097222222222223</v>
      </c>
      <c r="J120" s="93" t="n">
        <v>0.4965277777777778</v>
      </c>
      <c r="K120" s="40"/>
      <c r="L120" s="84" t="s">
        <v>631</v>
      </c>
      <c r="M120" s="84" t="s">
        <v>632</v>
      </c>
      <c r="N120" s="5" t="s">
        <v>633</v>
      </c>
      <c r="O120" s="220" t="n">
        <v>0.3541666666666667</v>
      </c>
      <c r="P120" s="222" t="n">
        <v>0.5069444444444444</v>
      </c>
      <c r="Q120" s="39" t="s">
        <v>118</v>
      </c>
      <c r="R120" s="82" t="n">
        <v>0.3125</v>
      </c>
      <c r="S120" s="82" t="n">
        <v>0.041666666666666664</v>
      </c>
      <c r="T120" s="39" t="s">
        <v>425</v>
      </c>
      <c r="U120" s="223" t="n">
        <v>0.3333333333333333</v>
      </c>
      <c r="V120" s="216" t="n">
        <v>0.4375</v>
      </c>
      <c r="W120" s="40"/>
      <c r="X120" s="5"/>
      <c r="Y120" s="5"/>
      <c r="Z120" s="5"/>
      <c r="AA120" s="5"/>
      <c r="AB120" s="5"/>
      <c r="AC120" s="5"/>
      <c r="AD120" s="5"/>
      <c r="AE120" s="84"/>
      <c r="AF120" s="5"/>
      <c r="AG120" s="84"/>
      <c r="AH120" s="5"/>
      <c r="AI120" s="5"/>
      <c r="AJ120" s="5"/>
      <c r="AK120" s="5"/>
      <c r="AL120" s="5"/>
      <c r="AM120" s="84"/>
      <c r="AN120" s="85"/>
      <c r="AO120" s="2"/>
      <c r="AP120" s="1"/>
      <c r="AQ120" s="1"/>
      <c r="AR120" s="2"/>
      <c r="AS120" s="1"/>
      <c r="AT120" s="1"/>
      <c r="AU120" s="2"/>
      <c r="AV120" s="2"/>
      <c r="AW120" s="2"/>
      <c r="AX120" s="2"/>
    </row>
    <row r="121" customHeight="1" ht="52.0">
      <c r="A121" s="3" t="n">
        <v>44064.0</v>
      </c>
      <c r="B121" s="5" t="s">
        <v>98</v>
      </c>
      <c r="C121" s="82" t="n">
        <v>0.3472222222222222</v>
      </c>
      <c r="D121" s="101" t="n">
        <v>0.4861111111111111</v>
      </c>
      <c r="E121" s="40" t="s">
        <v>417</v>
      </c>
      <c r="F121" s="80" t="n">
        <v>0.3958333333333333</v>
      </c>
      <c r="G121" s="80" t="n">
        <v>0.9777777777777777</v>
      </c>
      <c r="H121" s="40" t="s">
        <v>420</v>
      </c>
      <c r="I121" s="91" t="n">
        <v>0.3402777777777778</v>
      </c>
      <c r="J121" s="101" t="n">
        <v>0.001388888888888889</v>
      </c>
      <c r="K121" s="40"/>
      <c r="L121" s="84" t="s">
        <v>457</v>
      </c>
      <c r="M121" s="87" t="s">
        <v>422</v>
      </c>
      <c r="N121" s="5"/>
      <c r="O121" s="220" t="n">
        <v>0.3263888888888889</v>
      </c>
      <c r="P121" s="220" t="n">
        <v>0.4652777777777778</v>
      </c>
      <c r="Q121" s="39" t="s">
        <v>425</v>
      </c>
      <c r="R121" s="82" t="n">
        <v>0.3229166666666667</v>
      </c>
      <c r="S121" s="84"/>
      <c r="T121" s="39"/>
      <c r="U121" s="108" t="n">
        <v>0.37430555555555556</v>
      </c>
      <c r="V121" s="218" t="n">
        <v>0.4305555555555556</v>
      </c>
      <c r="W121" s="40"/>
      <c r="X121" s="5"/>
      <c r="Y121" s="84"/>
      <c r="Z121" s="5"/>
      <c r="AA121" s="5"/>
      <c r="AB121" s="5"/>
      <c r="AC121" s="5"/>
      <c r="AD121" s="84"/>
      <c r="AE121" s="5"/>
      <c r="AF121" s="5"/>
      <c r="AG121" s="5"/>
      <c r="AH121" s="5"/>
      <c r="AI121" s="5"/>
      <c r="AJ121" s="84"/>
      <c r="AK121" s="84"/>
      <c r="AL121" s="5"/>
      <c r="AM121" s="84"/>
      <c r="AN121" s="85"/>
      <c r="AO121" s="2"/>
      <c r="AP121" s="1"/>
      <c r="AQ121" s="2"/>
      <c r="AR121" s="2"/>
      <c r="AS121" s="1"/>
      <c r="AT121" s="1"/>
      <c r="AU121" s="2"/>
      <c r="AV121" s="2"/>
      <c r="AW121" s="2"/>
      <c r="AX121" s="2"/>
    </row>
    <row r="122" customHeight="1" ht="39.0">
      <c r="A122" s="3" t="n">
        <v>44065.0</v>
      </c>
      <c r="B122" s="5" t="s">
        <v>100</v>
      </c>
      <c r="C122" s="80" t="n">
        <v>0.3541666666666667</v>
      </c>
      <c r="D122" s="80" t="n">
        <v>0.4722222222222222</v>
      </c>
      <c r="E122" s="40" t="s">
        <v>420</v>
      </c>
      <c r="F122" s="80" t="n">
        <v>0.3541666666666667</v>
      </c>
      <c r="G122" s="82" t="n">
        <v>0.9444444444444444</v>
      </c>
      <c r="H122" s="40" t="s">
        <v>420</v>
      </c>
      <c r="I122" s="99" t="n">
        <v>0.3638888888888889</v>
      </c>
      <c r="J122" s="99" t="n">
        <v>0.03125</v>
      </c>
      <c r="K122" s="40"/>
      <c r="L122" s="87" t="s">
        <v>560</v>
      </c>
      <c r="M122" s="84" t="s">
        <v>422</v>
      </c>
      <c r="N122" s="5"/>
      <c r="O122" s="220" t="n">
        <v>0.3194444444444444</v>
      </c>
      <c r="P122" s="212" t="s">
        <v>458</v>
      </c>
      <c r="Q122" s="39" t="s">
        <v>425</v>
      </c>
      <c r="R122" s="84"/>
      <c r="S122" s="84"/>
      <c r="T122" s="39"/>
      <c r="U122" s="84"/>
      <c r="V122" s="85"/>
      <c r="W122" s="40"/>
      <c r="X122" s="84"/>
      <c r="Y122" s="84"/>
      <c r="Z122" s="5"/>
      <c r="AA122" s="5"/>
      <c r="AB122" s="5"/>
      <c r="AC122" s="5"/>
      <c r="AD122" s="5"/>
      <c r="AE122" s="84"/>
      <c r="AF122" s="5"/>
      <c r="AG122" s="5"/>
      <c r="AH122" s="5"/>
      <c r="AI122" s="5"/>
      <c r="AJ122" s="5"/>
      <c r="AK122" s="5"/>
      <c r="AL122" s="5"/>
      <c r="AM122" s="84"/>
      <c r="AN122" s="85"/>
      <c r="AO122" s="2"/>
      <c r="AP122" s="2"/>
      <c r="AQ122" s="2"/>
      <c r="AR122" s="2"/>
      <c r="AS122" s="1"/>
      <c r="AT122" s="1"/>
      <c r="AU122" s="2"/>
      <c r="AV122" s="2"/>
      <c r="AW122" s="2"/>
      <c r="AX122" s="2"/>
    </row>
    <row r="123" customHeight="1" ht="52.0">
      <c r="A123" s="3" t="n">
        <v>44066.0</v>
      </c>
      <c r="B123" s="5" t="s">
        <v>101</v>
      </c>
      <c r="C123" s="83"/>
      <c r="D123" s="83"/>
      <c r="E123" s="40"/>
      <c r="F123" s="80" t="n">
        <v>0.3958333333333333</v>
      </c>
      <c r="G123" s="80" t="n">
        <v>0.020833333333333332</v>
      </c>
      <c r="H123" s="40" t="s">
        <v>420</v>
      </c>
      <c r="I123" s="91" t="n">
        <v>0.35347222222222224</v>
      </c>
      <c r="J123" s="91" t="n">
        <v>0.4826388888888889</v>
      </c>
      <c r="K123" s="40"/>
      <c r="L123" s="84" t="s">
        <v>421</v>
      </c>
      <c r="M123" s="87" t="s">
        <v>422</v>
      </c>
      <c r="N123" s="2"/>
      <c r="O123" s="212" t="s">
        <v>421</v>
      </c>
      <c r="P123" s="212"/>
      <c r="Q123" s="39"/>
      <c r="R123" s="84"/>
      <c r="S123" s="84"/>
      <c r="T123" s="39"/>
      <c r="U123" s="84"/>
      <c r="V123" s="85"/>
      <c r="W123" s="40"/>
      <c r="X123" s="84"/>
      <c r="Y123" s="84"/>
      <c r="Z123" s="5"/>
      <c r="AA123" s="5"/>
      <c r="AB123" s="5"/>
      <c r="AC123" s="5"/>
      <c r="AD123" s="5"/>
      <c r="AE123" s="84"/>
      <c r="AF123" s="5"/>
      <c r="AG123" s="5"/>
      <c r="AH123" s="5"/>
      <c r="AI123" s="5"/>
      <c r="AJ123" s="5"/>
      <c r="AK123" s="5"/>
      <c r="AL123" s="5"/>
      <c r="AM123" s="84"/>
      <c r="AN123" s="85"/>
      <c r="AO123" s="2"/>
      <c r="AP123" s="2"/>
      <c r="AQ123" s="2"/>
      <c r="AR123" s="2"/>
      <c r="AS123" s="2"/>
      <c r="AT123" s="2"/>
      <c r="AU123" s="2"/>
      <c r="AV123" s="2"/>
      <c r="AW123" s="2"/>
      <c r="AX123" s="2"/>
    </row>
    <row r="124">
      <c r="B124" s="15"/>
      <c r="C124" s="53"/>
      <c r="D124" s="53"/>
      <c r="E124" s="15"/>
      <c r="F124" s="15"/>
      <c r="G124" s="15"/>
      <c r="H124" s="15"/>
      <c r="I124" s="15"/>
      <c r="J124" s="15"/>
      <c r="K124" s="15"/>
      <c r="L124" s="15"/>
      <c r="M124" s="15"/>
      <c r="N124" s="15"/>
      <c r="U124" s="5"/>
      <c r="V124" s="5"/>
      <c r="W124" s="5"/>
      <c r="X124" s="5"/>
      <c r="Y124" s="5"/>
      <c r="Z124" s="5"/>
      <c r="AA124" s="5"/>
      <c r="AB124" s="5"/>
      <c r="AC124" s="5"/>
      <c r="AD124" s="5"/>
      <c r="AE124" s="5"/>
      <c r="AF124" s="5"/>
      <c r="AG124" s="5"/>
      <c r="AH124" s="5"/>
      <c r="AI124" s="5"/>
      <c r="AJ124" s="5"/>
      <c r="AK124" s="5"/>
      <c r="AL124" s="5"/>
      <c r="AM124" s="5"/>
    </row>
    <row r="125">
      <c r="B125" s="15"/>
      <c r="C125" s="53"/>
      <c r="D125" s="53"/>
      <c r="E125" s="15"/>
      <c r="F125" s="15"/>
      <c r="G125" s="15"/>
      <c r="H125" s="15"/>
      <c r="I125" s="15"/>
      <c r="J125" s="15"/>
      <c r="K125" s="15"/>
      <c r="L125" s="15"/>
      <c r="M125" s="15"/>
      <c r="N125" s="15"/>
      <c r="U125" s="5"/>
      <c r="V125" s="5"/>
      <c r="W125" s="5"/>
      <c r="X125" s="5"/>
      <c r="Y125" s="5"/>
      <c r="Z125" s="5"/>
      <c r="AA125" s="5"/>
      <c r="AB125" s="5"/>
      <c r="AC125" s="5"/>
      <c r="AD125" s="5"/>
      <c r="AE125" s="5"/>
      <c r="AF125" s="5"/>
      <c r="AG125" s="5"/>
      <c r="AH125" s="5"/>
      <c r="AI125" s="5"/>
      <c r="AJ125" s="5"/>
      <c r="AK125" s="5"/>
      <c r="AL125" s="5"/>
      <c r="AM125" s="5"/>
    </row>
    <row r="126">
      <c r="B126" s="15"/>
      <c r="C126" s="53"/>
      <c r="D126" s="53"/>
      <c r="E126" s="15"/>
      <c r="F126" s="15"/>
      <c r="G126" s="15"/>
      <c r="H126" s="15"/>
      <c r="I126" s="15"/>
      <c r="J126" s="15"/>
      <c r="K126" s="15"/>
      <c r="L126" s="15"/>
      <c r="M126" s="15"/>
      <c r="N126" s="15"/>
      <c r="U126" s="5"/>
      <c r="V126" s="5"/>
      <c r="W126" s="5"/>
      <c r="X126" s="5"/>
      <c r="Y126" s="5"/>
      <c r="Z126" s="5"/>
      <c r="AA126" s="5"/>
      <c r="AB126" s="5"/>
      <c r="AC126" s="5"/>
      <c r="AD126" s="5"/>
      <c r="AE126" s="5"/>
      <c r="AF126" s="5"/>
      <c r="AG126" s="5"/>
      <c r="AH126" s="5"/>
      <c r="AI126" s="5"/>
      <c r="AJ126" s="5"/>
      <c r="AK126" s="5"/>
      <c r="AL126" s="5"/>
      <c r="AM126" s="5"/>
    </row>
    <row r="127">
      <c r="B127" s="15"/>
      <c r="C127" s="53"/>
      <c r="D127" s="53"/>
      <c r="E127" s="15"/>
      <c r="F127" s="15"/>
      <c r="G127" s="15"/>
      <c r="H127" s="15"/>
      <c r="I127" s="15"/>
      <c r="J127" s="15"/>
      <c r="K127" s="15"/>
      <c r="L127" s="15"/>
      <c r="M127" s="15"/>
      <c r="N127" s="15"/>
      <c r="U127" s="5"/>
      <c r="V127" s="5"/>
      <c r="W127" s="5"/>
      <c r="X127" s="5"/>
      <c r="Y127" s="5"/>
      <c r="Z127" s="5"/>
      <c r="AA127" s="5"/>
      <c r="AB127" s="5"/>
      <c r="AC127" s="5"/>
      <c r="AD127" s="5"/>
      <c r="AE127" s="5"/>
      <c r="AF127" s="5"/>
      <c r="AG127" s="5"/>
      <c r="AH127" s="5"/>
      <c r="AI127" s="5"/>
      <c r="AJ127" s="5"/>
      <c r="AK127" s="5"/>
      <c r="AL127" s="5"/>
      <c r="AM127" s="5"/>
    </row>
    <row r="128">
      <c r="B128" s="15"/>
      <c r="C128" s="53"/>
      <c r="D128" s="53"/>
      <c r="E128" s="15"/>
      <c r="F128" s="15"/>
      <c r="G128" s="15"/>
      <c r="H128" s="15"/>
      <c r="I128" s="15"/>
      <c r="J128" s="15"/>
      <c r="K128" s="15"/>
      <c r="L128" s="15"/>
      <c r="M128" s="15"/>
      <c r="N128" s="15"/>
      <c r="U128" s="5"/>
      <c r="V128" s="5"/>
      <c r="W128" s="5"/>
      <c r="X128" s="5"/>
      <c r="Y128" s="5"/>
      <c r="Z128" s="5"/>
      <c r="AA128" s="5"/>
      <c r="AB128" s="5"/>
      <c r="AC128" s="5"/>
      <c r="AD128" s="5"/>
      <c r="AE128" s="5"/>
      <c r="AF128" s="5"/>
      <c r="AG128" s="5"/>
      <c r="AH128" s="5"/>
      <c r="AI128" s="5"/>
      <c r="AJ128" s="5"/>
      <c r="AK128" s="5"/>
      <c r="AL128" s="5"/>
      <c r="AM128" s="5"/>
    </row>
    <row r="129">
      <c r="B129" s="15"/>
      <c r="C129" s="53"/>
      <c r="D129" s="53"/>
      <c r="E129" s="15"/>
      <c r="F129" s="15"/>
      <c r="G129" s="15"/>
      <c r="H129" s="15"/>
      <c r="I129" s="15"/>
      <c r="J129" s="15"/>
      <c r="K129" s="15"/>
      <c r="L129" s="15"/>
      <c r="M129" s="15"/>
      <c r="N129" s="15"/>
      <c r="U129" s="5"/>
      <c r="V129" s="5"/>
      <c r="W129" s="5"/>
      <c r="X129" s="5"/>
      <c r="Y129" s="5"/>
      <c r="Z129" s="5"/>
      <c r="AA129" s="5"/>
      <c r="AB129" s="5"/>
      <c r="AC129" s="5"/>
      <c r="AD129" s="5"/>
      <c r="AE129" s="5"/>
      <c r="AF129" s="5"/>
      <c r="AG129" s="5"/>
      <c r="AH129" s="5"/>
      <c r="AI129" s="5"/>
      <c r="AJ129" s="5"/>
      <c r="AK129" s="5"/>
      <c r="AL129" s="5"/>
      <c r="AM129" s="5"/>
    </row>
    <row r="130">
      <c r="B130" s="15"/>
      <c r="C130" s="53"/>
      <c r="D130" s="53"/>
      <c r="E130" s="15"/>
      <c r="F130" s="15"/>
      <c r="G130" s="15"/>
      <c r="H130" s="15"/>
      <c r="I130" s="15"/>
      <c r="J130" s="15"/>
      <c r="K130" s="15"/>
      <c r="L130" s="15"/>
      <c r="M130" s="15"/>
      <c r="N130" s="15"/>
      <c r="U130" s="5"/>
      <c r="V130" s="5"/>
      <c r="W130" s="5"/>
      <c r="X130" s="5"/>
      <c r="Y130" s="5"/>
      <c r="Z130" s="5"/>
      <c r="AA130" s="5"/>
      <c r="AB130" s="5"/>
      <c r="AC130" s="5"/>
      <c r="AD130" s="5"/>
      <c r="AE130" s="5"/>
      <c r="AF130" s="5"/>
      <c r="AG130" s="5"/>
      <c r="AH130" s="5"/>
      <c r="AI130" s="5"/>
      <c r="AJ130" s="5"/>
      <c r="AK130" s="5"/>
      <c r="AL130" s="5"/>
      <c r="AM130" s="5"/>
    </row>
    <row r="131">
      <c r="B131" s="15"/>
      <c r="C131" s="53"/>
      <c r="D131" s="53"/>
      <c r="E131" s="15"/>
      <c r="F131" s="15"/>
      <c r="G131" s="15"/>
      <c r="H131" s="15"/>
      <c r="I131" s="15"/>
      <c r="J131" s="15"/>
      <c r="K131" s="15"/>
      <c r="L131" s="15"/>
      <c r="M131" s="15"/>
      <c r="N131" s="15"/>
      <c r="U131" s="5"/>
      <c r="V131" s="5"/>
      <c r="W131" s="5"/>
      <c r="X131" s="5"/>
      <c r="Y131" s="5"/>
      <c r="Z131" s="5"/>
      <c r="AA131" s="5"/>
      <c r="AB131" s="5"/>
      <c r="AC131" s="5"/>
      <c r="AD131" s="5"/>
      <c r="AE131" s="5"/>
      <c r="AF131" s="5"/>
      <c r="AG131" s="5"/>
      <c r="AH131" s="5"/>
      <c r="AI131" s="5"/>
      <c r="AJ131" s="5"/>
      <c r="AK131" s="5"/>
      <c r="AL131" s="5"/>
      <c r="AM131" s="5"/>
    </row>
    <row r="132">
      <c r="B132" s="15"/>
      <c r="C132" s="53"/>
      <c r="D132" s="53"/>
      <c r="E132" s="15"/>
      <c r="F132" s="15"/>
      <c r="G132" s="15"/>
      <c r="H132" s="15"/>
      <c r="I132" s="15"/>
      <c r="J132" s="15"/>
      <c r="K132" s="15"/>
      <c r="L132" s="15"/>
      <c r="M132" s="15"/>
      <c r="N132" s="15"/>
      <c r="U132" s="5"/>
      <c r="V132" s="5"/>
      <c r="W132" s="5"/>
      <c r="X132" s="5"/>
      <c r="Y132" s="5"/>
      <c r="Z132" s="5"/>
      <c r="AA132" s="5"/>
      <c r="AB132" s="5"/>
      <c r="AC132" s="5"/>
      <c r="AD132" s="5"/>
      <c r="AE132" s="5"/>
      <c r="AF132" s="5"/>
      <c r="AG132" s="5"/>
      <c r="AH132" s="5"/>
      <c r="AI132" s="5"/>
      <c r="AJ132" s="5"/>
      <c r="AK132" s="5"/>
      <c r="AL132" s="5"/>
      <c r="AM132" s="5"/>
    </row>
    <row r="133">
      <c r="B133" s="15"/>
      <c r="C133" s="53"/>
      <c r="D133" s="53"/>
      <c r="E133" s="15"/>
      <c r="F133" s="15"/>
      <c r="G133" s="15"/>
      <c r="H133" s="15"/>
      <c r="I133" s="15"/>
      <c r="J133" s="15"/>
      <c r="K133" s="15"/>
      <c r="L133" s="15"/>
      <c r="M133" s="15"/>
      <c r="N133" s="15"/>
      <c r="U133" s="5"/>
      <c r="V133" s="5"/>
      <c r="W133" s="5"/>
      <c r="X133" s="5"/>
      <c r="Y133" s="5"/>
      <c r="Z133" s="5"/>
      <c r="AA133" s="5"/>
      <c r="AB133" s="5"/>
      <c r="AC133" s="5"/>
      <c r="AD133" s="5"/>
      <c r="AE133" s="5"/>
      <c r="AF133" s="5"/>
      <c r="AG133" s="5"/>
      <c r="AH133" s="5"/>
      <c r="AI133" s="5"/>
      <c r="AJ133" s="5"/>
      <c r="AK133" s="5"/>
      <c r="AL133" s="5"/>
      <c r="AM133" s="5"/>
    </row>
    <row r="134">
      <c r="B134" s="15"/>
      <c r="C134" s="53"/>
      <c r="D134" s="53"/>
      <c r="E134" s="15"/>
      <c r="F134" s="15"/>
      <c r="G134" s="15"/>
      <c r="H134" s="15"/>
      <c r="I134" s="15"/>
      <c r="J134" s="15"/>
      <c r="K134" s="15"/>
      <c r="L134" s="15"/>
      <c r="M134" s="15"/>
      <c r="N134" s="15"/>
      <c r="U134" s="5"/>
      <c r="V134" s="5"/>
      <c r="W134" s="5"/>
      <c r="X134" s="5"/>
      <c r="Y134" s="5"/>
      <c r="Z134" s="5"/>
      <c r="AA134" s="5"/>
      <c r="AB134" s="5"/>
      <c r="AC134" s="5"/>
      <c r="AD134" s="5"/>
      <c r="AE134" s="5"/>
      <c r="AF134" s="5"/>
      <c r="AG134" s="5"/>
      <c r="AH134" s="5"/>
      <c r="AI134" s="5"/>
      <c r="AJ134" s="5"/>
      <c r="AK134" s="5"/>
      <c r="AL134" s="5"/>
      <c r="AM134" s="5"/>
    </row>
    <row r="135">
      <c r="B135" s="15"/>
      <c r="C135" s="53"/>
      <c r="D135" s="53"/>
      <c r="E135" s="15"/>
      <c r="F135" s="15"/>
      <c r="G135" s="15"/>
      <c r="H135" s="15"/>
      <c r="I135" s="15"/>
      <c r="J135" s="15"/>
      <c r="K135" s="15"/>
      <c r="L135" s="15"/>
      <c r="M135" s="15"/>
      <c r="N135" s="15"/>
      <c r="U135" s="5"/>
      <c r="V135" s="5"/>
      <c r="W135" s="5"/>
      <c r="X135" s="5"/>
      <c r="Y135" s="5"/>
      <c r="Z135" s="5"/>
      <c r="AA135" s="5"/>
      <c r="AB135" s="5"/>
      <c r="AC135" s="5"/>
      <c r="AD135" s="5"/>
      <c r="AE135" s="5"/>
      <c r="AF135" s="5"/>
      <c r="AG135" s="5"/>
      <c r="AH135" s="5"/>
      <c r="AI135" s="5"/>
      <c r="AJ135" s="5"/>
      <c r="AK135" s="5"/>
      <c r="AL135" s="5"/>
      <c r="AM135" s="5"/>
    </row>
    <row r="136">
      <c r="B136" s="15"/>
      <c r="C136" s="53"/>
      <c r="D136" s="53"/>
      <c r="E136" s="15"/>
      <c r="F136" s="15"/>
      <c r="G136" s="15"/>
      <c r="H136" s="15"/>
      <c r="I136" s="15"/>
      <c r="J136" s="15"/>
      <c r="K136" s="15"/>
      <c r="L136" s="15"/>
      <c r="M136" s="15"/>
      <c r="N136" s="15"/>
      <c r="U136" s="5"/>
      <c r="V136" s="5"/>
      <c r="W136" s="5"/>
      <c r="X136" s="5"/>
      <c r="Y136" s="5"/>
      <c r="Z136" s="5"/>
      <c r="AA136" s="5"/>
      <c r="AB136" s="5"/>
      <c r="AC136" s="5"/>
      <c r="AD136" s="5"/>
      <c r="AE136" s="5"/>
      <c r="AF136" s="5"/>
      <c r="AG136" s="5"/>
      <c r="AH136" s="5"/>
      <c r="AI136" s="5"/>
      <c r="AJ136" s="5"/>
      <c r="AK136" s="5"/>
      <c r="AL136" s="5"/>
      <c r="AM136" s="5"/>
    </row>
    <row r="137">
      <c r="B137" s="15"/>
      <c r="C137" s="53"/>
      <c r="D137" s="53"/>
      <c r="E137" s="15"/>
      <c r="F137" s="15"/>
      <c r="G137" s="15"/>
      <c r="H137" s="15"/>
      <c r="I137" s="15"/>
      <c r="J137" s="15"/>
      <c r="K137" s="15"/>
      <c r="L137" s="15"/>
      <c r="M137" s="15"/>
      <c r="N137" s="15"/>
      <c r="U137" s="5"/>
      <c r="V137" s="5"/>
      <c r="W137" s="5"/>
      <c r="X137" s="5"/>
      <c r="Y137" s="5"/>
      <c r="Z137" s="5"/>
      <c r="AA137" s="5"/>
      <c r="AB137" s="5"/>
      <c r="AC137" s="5"/>
      <c r="AD137" s="5"/>
      <c r="AE137" s="5"/>
      <c r="AF137" s="5"/>
      <c r="AG137" s="5"/>
      <c r="AH137" s="5"/>
      <c r="AI137" s="5"/>
      <c r="AJ137" s="5"/>
      <c r="AK137" s="5"/>
      <c r="AL137" s="5"/>
      <c r="AM137" s="5"/>
    </row>
    <row r="138">
      <c r="B138" s="15"/>
      <c r="C138" s="53"/>
      <c r="D138" s="53"/>
      <c r="E138" s="15"/>
      <c r="F138" s="15"/>
      <c r="G138" s="15"/>
      <c r="H138" s="15"/>
      <c r="I138" s="15"/>
      <c r="J138" s="15"/>
      <c r="K138" s="15"/>
      <c r="L138" s="15"/>
      <c r="M138" s="15"/>
      <c r="N138" s="15"/>
      <c r="U138" s="5"/>
      <c r="V138" s="5"/>
      <c r="W138" s="5"/>
      <c r="X138" s="5"/>
      <c r="Y138" s="5"/>
      <c r="Z138" s="5"/>
      <c r="AA138" s="5"/>
      <c r="AB138" s="5"/>
      <c r="AC138" s="5"/>
      <c r="AD138" s="5"/>
      <c r="AE138" s="5"/>
      <c r="AF138" s="5"/>
      <c r="AG138" s="5"/>
      <c r="AH138" s="5"/>
      <c r="AI138" s="5"/>
      <c r="AJ138" s="5"/>
      <c r="AK138" s="5"/>
      <c r="AL138" s="5"/>
      <c r="AM138" s="5"/>
    </row>
    <row r="139">
      <c r="B139" s="15"/>
      <c r="C139" s="53"/>
      <c r="D139" s="53"/>
      <c r="E139" s="15"/>
      <c r="F139" s="15"/>
      <c r="G139" s="15"/>
      <c r="H139" s="15"/>
      <c r="I139" s="15"/>
      <c r="J139" s="15"/>
      <c r="K139" s="15"/>
      <c r="L139" s="15"/>
      <c r="M139" s="15"/>
      <c r="N139" s="15"/>
      <c r="U139" s="5"/>
      <c r="V139" s="5"/>
      <c r="W139" s="5"/>
      <c r="X139" s="5"/>
      <c r="Y139" s="5"/>
      <c r="Z139" s="5"/>
      <c r="AA139" s="5"/>
      <c r="AB139" s="5"/>
      <c r="AC139" s="5"/>
      <c r="AD139" s="5"/>
      <c r="AE139" s="5"/>
      <c r="AF139" s="5"/>
      <c r="AG139" s="5"/>
      <c r="AH139" s="5"/>
      <c r="AI139" s="5"/>
      <c r="AJ139" s="5"/>
      <c r="AK139" s="5"/>
      <c r="AL139" s="5"/>
      <c r="AM139" s="5"/>
    </row>
    <row r="140">
      <c r="B140" s="15"/>
      <c r="C140" s="53"/>
      <c r="D140" s="53"/>
      <c r="E140" s="15"/>
      <c r="F140" s="15"/>
      <c r="G140" s="15"/>
      <c r="H140" s="15"/>
      <c r="I140" s="15"/>
      <c r="J140" s="15"/>
      <c r="K140" s="15"/>
      <c r="L140" s="15"/>
      <c r="M140" s="15"/>
      <c r="N140" s="15"/>
      <c r="U140" s="5"/>
      <c r="V140" s="5"/>
      <c r="W140" s="5"/>
      <c r="X140" s="5"/>
      <c r="Y140" s="5"/>
      <c r="Z140" s="5"/>
      <c r="AA140" s="5"/>
      <c r="AB140" s="5"/>
      <c r="AC140" s="5"/>
      <c r="AD140" s="5"/>
      <c r="AE140" s="5"/>
      <c r="AF140" s="5"/>
      <c r="AG140" s="5"/>
      <c r="AH140" s="5"/>
      <c r="AI140" s="5"/>
      <c r="AJ140" s="5"/>
      <c r="AK140" s="5"/>
      <c r="AL140" s="5"/>
      <c r="AM140" s="5"/>
    </row>
    <row r="141">
      <c r="B141" s="15"/>
      <c r="C141" s="53"/>
      <c r="D141" s="53"/>
      <c r="E141" s="15"/>
      <c r="F141" s="15"/>
      <c r="G141" s="15"/>
      <c r="H141" s="15"/>
      <c r="I141" s="15"/>
      <c r="J141" s="15"/>
      <c r="K141" s="15"/>
      <c r="L141" s="15"/>
      <c r="M141" s="15"/>
      <c r="N141" s="15"/>
      <c r="U141" s="5"/>
      <c r="V141" s="5"/>
      <c r="W141" s="5"/>
      <c r="X141" s="5"/>
      <c r="Y141" s="5"/>
      <c r="Z141" s="5"/>
      <c r="AA141" s="5"/>
      <c r="AB141" s="5"/>
      <c r="AC141" s="5"/>
      <c r="AD141" s="5"/>
      <c r="AE141" s="5"/>
      <c r="AF141" s="5"/>
      <c r="AG141" s="5"/>
      <c r="AH141" s="5"/>
      <c r="AI141" s="5"/>
      <c r="AJ141" s="5"/>
      <c r="AK141" s="5"/>
      <c r="AL141" s="5"/>
      <c r="AM141" s="5"/>
    </row>
    <row r="142">
      <c r="B142" s="15"/>
      <c r="C142" s="53"/>
      <c r="D142" s="53"/>
      <c r="E142" s="15"/>
      <c r="F142" s="15"/>
      <c r="G142" s="15"/>
      <c r="H142" s="15"/>
      <c r="I142" s="15"/>
      <c r="J142" s="15"/>
      <c r="K142" s="15"/>
      <c r="L142" s="15"/>
      <c r="M142" s="15"/>
      <c r="N142" s="15"/>
      <c r="U142" s="5"/>
      <c r="V142" s="5"/>
      <c r="W142" s="5"/>
      <c r="X142" s="5"/>
      <c r="Y142" s="5"/>
      <c r="Z142" s="5"/>
      <c r="AA142" s="5"/>
      <c r="AB142" s="5"/>
      <c r="AC142" s="5"/>
      <c r="AD142" s="5"/>
      <c r="AE142" s="5"/>
      <c r="AF142" s="5"/>
      <c r="AG142" s="5"/>
      <c r="AH142" s="5"/>
      <c r="AI142" s="5"/>
      <c r="AJ142" s="5"/>
      <c r="AK142" s="5"/>
      <c r="AL142" s="5"/>
      <c r="AM142" s="5"/>
    </row>
    <row r="143">
      <c r="B143" s="15"/>
      <c r="C143" s="53"/>
      <c r="D143" s="53"/>
      <c r="E143" s="15"/>
      <c r="F143" s="15"/>
      <c r="G143" s="15"/>
      <c r="H143" s="15"/>
      <c r="I143" s="15"/>
      <c r="J143" s="15"/>
      <c r="K143" s="15"/>
      <c r="L143" s="15"/>
      <c r="M143" s="15"/>
      <c r="N143" s="15"/>
      <c r="U143" s="5"/>
      <c r="V143" s="5"/>
      <c r="W143" s="5"/>
      <c r="X143" s="5"/>
      <c r="Y143" s="5"/>
      <c r="Z143" s="5"/>
      <c r="AA143" s="5"/>
      <c r="AB143" s="5"/>
      <c r="AC143" s="5"/>
      <c r="AD143" s="5"/>
      <c r="AE143" s="5"/>
      <c r="AF143" s="5"/>
      <c r="AG143" s="5"/>
      <c r="AH143" s="5"/>
      <c r="AI143" s="5"/>
      <c r="AJ143" s="5"/>
      <c r="AK143" s="5"/>
      <c r="AL143" s="5"/>
      <c r="AM143" s="5"/>
    </row>
    <row r="144">
      <c r="B144" s="15"/>
      <c r="C144" s="53"/>
      <c r="D144" s="53"/>
      <c r="E144" s="15"/>
      <c r="F144" s="15"/>
      <c r="G144" s="15"/>
      <c r="H144" s="15"/>
      <c r="I144" s="15"/>
      <c r="J144" s="15"/>
      <c r="K144" s="15"/>
      <c r="L144" s="15"/>
      <c r="M144" s="15"/>
      <c r="N144" s="15"/>
      <c r="U144" s="5"/>
      <c r="V144" s="5"/>
      <c r="W144" s="5"/>
      <c r="X144" s="5"/>
      <c r="Y144" s="5"/>
      <c r="Z144" s="5"/>
      <c r="AA144" s="5"/>
      <c r="AB144" s="5"/>
      <c r="AC144" s="5"/>
      <c r="AD144" s="5"/>
      <c r="AE144" s="5"/>
      <c r="AF144" s="5"/>
      <c r="AG144" s="5"/>
      <c r="AH144" s="5"/>
      <c r="AI144" s="5"/>
      <c r="AJ144" s="5"/>
      <c r="AK144" s="5"/>
      <c r="AL144" s="5"/>
      <c r="AM144" s="5"/>
    </row>
    <row r="145">
      <c r="B145" s="15"/>
      <c r="C145" s="53"/>
      <c r="D145" s="53"/>
      <c r="E145" s="15"/>
      <c r="F145" s="15"/>
      <c r="G145" s="15"/>
      <c r="H145" s="15"/>
      <c r="I145" s="15"/>
      <c r="J145" s="15"/>
      <c r="K145" s="15"/>
      <c r="L145" s="15"/>
      <c r="M145" s="15"/>
      <c r="N145" s="15"/>
      <c r="U145" s="5"/>
      <c r="V145" s="5"/>
      <c r="W145" s="5"/>
      <c r="X145" s="5"/>
      <c r="Y145" s="5"/>
      <c r="Z145" s="5"/>
      <c r="AA145" s="5"/>
      <c r="AB145" s="5"/>
      <c r="AC145" s="5"/>
      <c r="AD145" s="5"/>
      <c r="AE145" s="5"/>
      <c r="AF145" s="5"/>
      <c r="AG145" s="5"/>
      <c r="AH145" s="5"/>
      <c r="AI145" s="5"/>
      <c r="AJ145" s="5"/>
      <c r="AK145" s="5"/>
      <c r="AL145" s="5"/>
      <c r="AM145" s="5"/>
    </row>
    <row r="146">
      <c r="B146" s="15"/>
      <c r="C146" s="53"/>
      <c r="D146" s="53"/>
      <c r="E146" s="15"/>
      <c r="F146" s="15"/>
      <c r="G146" s="15"/>
      <c r="H146" s="15"/>
      <c r="I146" s="15"/>
      <c r="J146" s="15"/>
      <c r="K146" s="15"/>
      <c r="L146" s="15"/>
      <c r="M146" s="15"/>
      <c r="N146" s="15"/>
      <c r="U146" s="5"/>
      <c r="V146" s="5"/>
      <c r="W146" s="5"/>
      <c r="X146" s="5"/>
      <c r="Y146" s="5"/>
      <c r="Z146" s="5"/>
      <c r="AA146" s="5"/>
      <c r="AB146" s="5"/>
      <c r="AC146" s="5"/>
      <c r="AD146" s="5"/>
      <c r="AE146" s="5"/>
      <c r="AF146" s="5"/>
      <c r="AG146" s="5"/>
      <c r="AH146" s="5"/>
      <c r="AI146" s="5"/>
      <c r="AJ146" s="5"/>
      <c r="AK146" s="5"/>
      <c r="AL146" s="5"/>
      <c r="AM146" s="5"/>
    </row>
    <row r="147">
      <c r="B147" s="15"/>
      <c r="C147" s="53"/>
      <c r="D147" s="53"/>
      <c r="E147" s="15"/>
      <c r="F147" s="15"/>
      <c r="G147" s="15"/>
      <c r="H147" s="15"/>
      <c r="I147" s="15"/>
      <c r="J147" s="15"/>
      <c r="K147" s="15"/>
      <c r="L147" s="15"/>
      <c r="M147" s="15"/>
      <c r="N147" s="15"/>
      <c r="U147" s="5"/>
      <c r="V147" s="5"/>
      <c r="W147" s="5"/>
      <c r="X147" s="5"/>
      <c r="Y147" s="5"/>
      <c r="Z147" s="5"/>
      <c r="AA147" s="5"/>
      <c r="AB147" s="5"/>
      <c r="AC147" s="5"/>
      <c r="AD147" s="5"/>
      <c r="AE147" s="5"/>
      <c r="AF147" s="5"/>
      <c r="AG147" s="5"/>
      <c r="AH147" s="5"/>
      <c r="AI147" s="5"/>
      <c r="AJ147" s="5"/>
      <c r="AK147" s="5"/>
      <c r="AL147" s="5"/>
      <c r="AM147" s="5"/>
    </row>
    <row r="148">
      <c r="B148" s="15"/>
      <c r="C148" s="53"/>
      <c r="D148" s="53"/>
      <c r="E148" s="15"/>
      <c r="F148" s="15"/>
      <c r="G148" s="15"/>
      <c r="H148" s="15"/>
      <c r="I148" s="15"/>
      <c r="J148" s="15"/>
      <c r="K148" s="15"/>
      <c r="L148" s="15"/>
      <c r="M148" s="15"/>
      <c r="N148" s="15"/>
      <c r="U148" s="5"/>
      <c r="V148" s="5"/>
      <c r="W148" s="5"/>
      <c r="X148" s="5"/>
      <c r="Y148" s="5"/>
      <c r="Z148" s="5"/>
      <c r="AA148" s="5"/>
      <c r="AB148" s="5"/>
      <c r="AC148" s="5"/>
      <c r="AD148" s="5"/>
      <c r="AE148" s="5"/>
      <c r="AF148" s="5"/>
      <c r="AG148" s="5"/>
      <c r="AH148" s="5"/>
      <c r="AI148" s="5"/>
      <c r="AJ148" s="5"/>
      <c r="AK148" s="5"/>
      <c r="AL148" s="5"/>
      <c r="AM148" s="5"/>
    </row>
    <row r="149">
      <c r="B149" s="15"/>
      <c r="C149" s="53"/>
      <c r="D149" s="53"/>
      <c r="E149" s="15"/>
      <c r="F149" s="15"/>
      <c r="G149" s="15"/>
      <c r="H149" s="15"/>
      <c r="I149" s="15"/>
      <c r="J149" s="15"/>
      <c r="K149" s="15"/>
      <c r="L149" s="15"/>
      <c r="M149" s="15"/>
      <c r="N149" s="15"/>
      <c r="U149" s="5"/>
      <c r="V149" s="5"/>
      <c r="W149" s="5"/>
      <c r="X149" s="5"/>
      <c r="Y149" s="5"/>
      <c r="Z149" s="5"/>
      <c r="AA149" s="5"/>
      <c r="AB149" s="5"/>
      <c r="AC149" s="5"/>
      <c r="AD149" s="5"/>
      <c r="AE149" s="5"/>
      <c r="AF149" s="5"/>
      <c r="AG149" s="5"/>
      <c r="AH149" s="5"/>
      <c r="AI149" s="5"/>
      <c r="AJ149" s="5"/>
      <c r="AK149" s="5"/>
      <c r="AL149" s="5"/>
      <c r="AM149" s="5"/>
    </row>
    <row r="150">
      <c r="B150" s="15"/>
      <c r="C150" s="53"/>
      <c r="D150" s="53"/>
      <c r="E150" s="15"/>
      <c r="F150" s="15"/>
      <c r="G150" s="15"/>
      <c r="H150" s="15"/>
      <c r="I150" s="15"/>
      <c r="J150" s="15"/>
      <c r="K150" s="15"/>
      <c r="L150" s="15"/>
      <c r="M150" s="15"/>
      <c r="N150" s="15"/>
      <c r="U150" s="5"/>
      <c r="V150" s="5"/>
      <c r="W150" s="5"/>
      <c r="X150" s="5"/>
      <c r="Y150" s="5"/>
      <c r="Z150" s="5"/>
      <c r="AA150" s="5"/>
      <c r="AB150" s="5"/>
      <c r="AC150" s="5"/>
      <c r="AD150" s="5"/>
      <c r="AE150" s="5"/>
      <c r="AF150" s="5"/>
      <c r="AG150" s="5"/>
      <c r="AH150" s="5"/>
      <c r="AI150" s="5"/>
      <c r="AJ150" s="5"/>
      <c r="AK150" s="5"/>
      <c r="AL150" s="5"/>
      <c r="AM150" s="5"/>
    </row>
    <row r="151">
      <c r="B151" s="15"/>
      <c r="C151" s="53"/>
      <c r="D151" s="53"/>
      <c r="E151" s="15"/>
      <c r="F151" s="15"/>
      <c r="G151" s="15"/>
      <c r="H151" s="15"/>
      <c r="I151" s="15"/>
      <c r="J151" s="15"/>
      <c r="K151" s="15"/>
      <c r="L151" s="15"/>
      <c r="M151" s="15"/>
      <c r="N151" s="15"/>
      <c r="U151" s="5"/>
      <c r="V151" s="5"/>
      <c r="W151" s="5"/>
      <c r="X151" s="5"/>
      <c r="Y151" s="5"/>
      <c r="Z151" s="5"/>
      <c r="AA151" s="5"/>
      <c r="AB151" s="5"/>
      <c r="AC151" s="5"/>
      <c r="AD151" s="5"/>
      <c r="AE151" s="5"/>
      <c r="AF151" s="5"/>
      <c r="AG151" s="5"/>
      <c r="AH151" s="5"/>
      <c r="AI151" s="5"/>
      <c r="AJ151" s="5"/>
      <c r="AK151" s="5"/>
      <c r="AL151" s="5"/>
      <c r="AM151" s="5"/>
    </row>
    <row r="152">
      <c r="B152" s="15"/>
      <c r="C152" s="53"/>
      <c r="D152" s="53"/>
      <c r="E152" s="15"/>
      <c r="F152" s="15"/>
      <c r="G152" s="15"/>
      <c r="H152" s="15"/>
      <c r="I152" s="15"/>
      <c r="J152" s="15"/>
      <c r="K152" s="15"/>
      <c r="L152" s="15"/>
      <c r="M152" s="15"/>
      <c r="N152" s="15"/>
      <c r="U152" s="5"/>
      <c r="V152" s="5"/>
      <c r="W152" s="5"/>
      <c r="X152" s="5"/>
      <c r="Y152" s="5"/>
      <c r="Z152" s="5"/>
      <c r="AA152" s="5"/>
      <c r="AB152" s="5"/>
      <c r="AC152" s="5"/>
      <c r="AD152" s="5"/>
      <c r="AE152" s="5"/>
      <c r="AF152" s="5"/>
      <c r="AG152" s="5"/>
      <c r="AH152" s="5"/>
      <c r="AI152" s="5"/>
      <c r="AJ152" s="5"/>
      <c r="AK152" s="5"/>
      <c r="AL152" s="5"/>
      <c r="AM152" s="5"/>
    </row>
    <row r="153">
      <c r="B153" s="15"/>
      <c r="C153" s="53"/>
      <c r="D153" s="53"/>
      <c r="E153" s="15"/>
      <c r="F153" s="15"/>
      <c r="G153" s="15"/>
      <c r="H153" s="15"/>
      <c r="I153" s="15"/>
      <c r="J153" s="15"/>
      <c r="K153" s="15"/>
      <c r="L153" s="15"/>
      <c r="M153" s="15"/>
      <c r="N153" s="15"/>
      <c r="U153" s="5"/>
      <c r="V153" s="5"/>
      <c r="W153" s="5"/>
      <c r="X153" s="5"/>
      <c r="Y153" s="5"/>
      <c r="Z153" s="5"/>
      <c r="AA153" s="5"/>
      <c r="AB153" s="5"/>
      <c r="AC153" s="5"/>
      <c r="AD153" s="5"/>
      <c r="AE153" s="5"/>
      <c r="AF153" s="5"/>
      <c r="AG153" s="5"/>
      <c r="AH153" s="5"/>
      <c r="AI153" s="5"/>
      <c r="AJ153" s="5"/>
      <c r="AK153" s="5"/>
      <c r="AL153" s="5"/>
      <c r="AM153" s="5"/>
    </row>
    <row r="154">
      <c r="B154" s="15"/>
      <c r="C154" s="53"/>
      <c r="D154" s="53"/>
      <c r="E154" s="15"/>
      <c r="F154" s="15"/>
      <c r="G154" s="15"/>
      <c r="H154" s="15"/>
      <c r="I154" s="15"/>
      <c r="J154" s="15"/>
      <c r="K154" s="15"/>
      <c r="L154" s="15"/>
      <c r="M154" s="15"/>
      <c r="N154" s="15"/>
      <c r="U154" s="5"/>
      <c r="V154" s="5"/>
      <c r="W154" s="5"/>
      <c r="X154" s="5"/>
      <c r="Y154" s="5"/>
      <c r="Z154" s="5"/>
      <c r="AA154" s="5"/>
      <c r="AB154" s="5"/>
      <c r="AC154" s="5"/>
      <c r="AD154" s="5"/>
      <c r="AE154" s="5"/>
      <c r="AF154" s="5"/>
      <c r="AG154" s="5"/>
      <c r="AH154" s="5"/>
      <c r="AI154" s="5"/>
      <c r="AJ154" s="5"/>
      <c r="AK154" s="5"/>
      <c r="AL154" s="5"/>
      <c r="AM154" s="5"/>
    </row>
    <row r="155">
      <c r="B155" s="15"/>
      <c r="C155" s="53"/>
      <c r="D155" s="53"/>
      <c r="E155" s="15"/>
      <c r="F155" s="15"/>
      <c r="G155" s="15"/>
      <c r="H155" s="15"/>
      <c r="I155" s="15"/>
      <c r="J155" s="15"/>
      <c r="K155" s="15"/>
      <c r="L155" s="15"/>
      <c r="M155" s="15"/>
      <c r="N155" s="15"/>
      <c r="U155" s="5"/>
      <c r="V155" s="5"/>
      <c r="W155" s="5"/>
      <c r="X155" s="5"/>
      <c r="Y155" s="5"/>
      <c r="Z155" s="5"/>
      <c r="AA155" s="5"/>
      <c r="AB155" s="5"/>
      <c r="AC155" s="5"/>
      <c r="AD155" s="5"/>
      <c r="AE155" s="5"/>
      <c r="AF155" s="5"/>
      <c r="AG155" s="5"/>
      <c r="AH155" s="5"/>
      <c r="AI155" s="5"/>
      <c r="AJ155" s="5"/>
      <c r="AK155" s="5"/>
      <c r="AL155" s="5"/>
      <c r="AM155" s="5"/>
    </row>
    <row r="156">
      <c r="B156" s="15"/>
      <c r="C156" s="53"/>
      <c r="D156" s="53"/>
      <c r="E156" s="15"/>
      <c r="F156" s="15"/>
      <c r="G156" s="15"/>
      <c r="H156" s="15"/>
      <c r="I156" s="15"/>
      <c r="J156" s="15"/>
      <c r="K156" s="15"/>
      <c r="L156" s="15"/>
      <c r="M156" s="15"/>
      <c r="N156" s="15"/>
      <c r="U156" s="5"/>
      <c r="V156" s="5"/>
      <c r="W156" s="5"/>
      <c r="X156" s="5"/>
      <c r="Y156" s="5"/>
      <c r="Z156" s="5"/>
      <c r="AA156" s="5"/>
      <c r="AB156" s="5"/>
      <c r="AC156" s="5"/>
      <c r="AD156" s="5"/>
      <c r="AE156" s="5"/>
      <c r="AF156" s="5"/>
      <c r="AG156" s="5"/>
      <c r="AH156" s="5"/>
      <c r="AI156" s="5"/>
      <c r="AJ156" s="5"/>
      <c r="AK156" s="5"/>
      <c r="AL156" s="5"/>
      <c r="AM156" s="5"/>
    </row>
    <row r="157">
      <c r="B157" s="15"/>
      <c r="C157" s="53"/>
      <c r="D157" s="53"/>
      <c r="E157" s="15"/>
      <c r="F157" s="15"/>
      <c r="G157" s="15"/>
      <c r="H157" s="15"/>
      <c r="I157" s="15"/>
      <c r="J157" s="15"/>
      <c r="K157" s="15"/>
      <c r="L157" s="15"/>
      <c r="M157" s="15"/>
      <c r="N157" s="15"/>
      <c r="U157" s="5"/>
      <c r="V157" s="5"/>
      <c r="W157" s="5"/>
      <c r="X157" s="5"/>
      <c r="Y157" s="5"/>
      <c r="Z157" s="5"/>
      <c r="AA157" s="5"/>
      <c r="AB157" s="5"/>
      <c r="AC157" s="5"/>
      <c r="AD157" s="5"/>
      <c r="AE157" s="5"/>
      <c r="AF157" s="5"/>
      <c r="AG157" s="5"/>
      <c r="AH157" s="5"/>
      <c r="AI157" s="5"/>
      <c r="AJ157" s="5"/>
      <c r="AK157" s="5"/>
      <c r="AL157" s="5"/>
      <c r="AM157" s="5"/>
    </row>
    <row r="158">
      <c r="B158" s="15"/>
      <c r="C158" s="53"/>
      <c r="D158" s="53"/>
      <c r="E158" s="15"/>
      <c r="F158" s="15"/>
      <c r="G158" s="15"/>
      <c r="H158" s="15"/>
      <c r="I158" s="15"/>
      <c r="J158" s="15"/>
      <c r="K158" s="15"/>
      <c r="L158" s="15"/>
      <c r="M158" s="15"/>
      <c r="N158" s="15"/>
      <c r="U158" s="5"/>
      <c r="V158" s="5"/>
      <c r="W158" s="5"/>
      <c r="X158" s="5"/>
      <c r="Y158" s="5"/>
      <c r="Z158" s="5"/>
      <c r="AA158" s="5"/>
      <c r="AB158" s="5"/>
      <c r="AC158" s="5"/>
      <c r="AD158" s="5"/>
      <c r="AE158" s="5"/>
      <c r="AF158" s="5"/>
      <c r="AG158" s="5"/>
      <c r="AH158" s="5"/>
      <c r="AI158" s="5"/>
      <c r="AJ158" s="5"/>
      <c r="AK158" s="5"/>
      <c r="AL158" s="5"/>
      <c r="AM158" s="5"/>
    </row>
    <row r="159">
      <c r="B159" s="15"/>
      <c r="C159" s="53"/>
      <c r="D159" s="53"/>
      <c r="E159" s="15"/>
      <c r="F159" s="15"/>
      <c r="G159" s="15"/>
      <c r="H159" s="15"/>
      <c r="I159" s="15"/>
      <c r="J159" s="15"/>
      <c r="K159" s="15"/>
      <c r="L159" s="15"/>
      <c r="M159" s="15"/>
      <c r="N159" s="15"/>
      <c r="U159" s="5"/>
      <c r="V159" s="5"/>
      <c r="W159" s="5"/>
      <c r="X159" s="5"/>
      <c r="Y159" s="5"/>
      <c r="Z159" s="5"/>
      <c r="AA159" s="5"/>
      <c r="AB159" s="5"/>
      <c r="AC159" s="5"/>
      <c r="AD159" s="5"/>
      <c r="AE159" s="5"/>
      <c r="AF159" s="5"/>
      <c r="AG159" s="5"/>
      <c r="AH159" s="5"/>
      <c r="AI159" s="5"/>
      <c r="AJ159" s="5"/>
      <c r="AK159" s="5"/>
      <c r="AL159" s="5"/>
      <c r="AM159" s="5"/>
    </row>
    <row r="160">
      <c r="B160" s="15"/>
      <c r="C160" s="53"/>
      <c r="D160" s="53"/>
      <c r="E160" s="15"/>
      <c r="F160" s="15"/>
      <c r="G160" s="15"/>
      <c r="H160" s="15"/>
      <c r="I160" s="15"/>
      <c r="J160" s="15"/>
      <c r="K160" s="15"/>
      <c r="L160" s="15"/>
      <c r="M160" s="15"/>
      <c r="N160" s="15"/>
      <c r="U160" s="5"/>
      <c r="V160" s="5"/>
      <c r="W160" s="5"/>
      <c r="X160" s="5"/>
      <c r="Y160" s="5"/>
      <c r="Z160" s="5"/>
      <c r="AA160" s="5"/>
      <c r="AB160" s="5"/>
      <c r="AC160" s="5"/>
      <c r="AD160" s="5"/>
      <c r="AE160" s="5"/>
      <c r="AF160" s="5"/>
      <c r="AG160" s="5"/>
      <c r="AH160" s="5"/>
      <c r="AI160" s="5"/>
      <c r="AJ160" s="5"/>
      <c r="AK160" s="5"/>
      <c r="AL160" s="5"/>
      <c r="AM160" s="5"/>
    </row>
    <row r="161">
      <c r="B161" s="15"/>
      <c r="C161" s="53"/>
      <c r="D161" s="53"/>
      <c r="E161" s="15"/>
      <c r="F161" s="15"/>
      <c r="G161" s="15"/>
      <c r="H161" s="15"/>
      <c r="I161" s="15"/>
      <c r="J161" s="15"/>
      <c r="K161" s="15"/>
      <c r="L161" s="15"/>
      <c r="M161" s="15"/>
      <c r="N161" s="15"/>
      <c r="U161" s="5"/>
      <c r="V161" s="5"/>
      <c r="W161" s="5"/>
      <c r="X161" s="5"/>
      <c r="Y161" s="5"/>
      <c r="Z161" s="5"/>
      <c r="AA161" s="5"/>
      <c r="AB161" s="5"/>
      <c r="AC161" s="5"/>
      <c r="AD161" s="5"/>
      <c r="AE161" s="5"/>
      <c r="AF161" s="5"/>
      <c r="AG161" s="5"/>
      <c r="AH161" s="5"/>
      <c r="AI161" s="5"/>
      <c r="AJ161" s="5"/>
      <c r="AK161" s="5"/>
      <c r="AL161" s="5"/>
      <c r="AM161" s="5"/>
    </row>
    <row r="162">
      <c r="B162" s="15"/>
      <c r="C162" s="53"/>
      <c r="D162" s="53"/>
      <c r="E162" s="15"/>
      <c r="F162" s="15"/>
      <c r="G162" s="15"/>
      <c r="H162" s="15"/>
      <c r="I162" s="15"/>
      <c r="J162" s="15"/>
      <c r="K162" s="15"/>
      <c r="L162" s="15"/>
      <c r="M162" s="15"/>
      <c r="N162" s="15"/>
      <c r="U162" s="5"/>
      <c r="V162" s="5"/>
      <c r="W162" s="5"/>
      <c r="X162" s="5"/>
      <c r="Y162" s="5"/>
      <c r="Z162" s="5"/>
      <c r="AA162" s="5"/>
      <c r="AB162" s="5"/>
      <c r="AC162" s="5"/>
      <c r="AD162" s="5"/>
      <c r="AE162" s="5"/>
      <c r="AF162" s="5"/>
      <c r="AG162" s="5"/>
      <c r="AH162" s="5"/>
      <c r="AI162" s="5"/>
      <c r="AJ162" s="5"/>
      <c r="AK162" s="5"/>
      <c r="AL162" s="5"/>
      <c r="AM162" s="5"/>
    </row>
    <row r="163">
      <c r="B163" s="15"/>
      <c r="C163" s="53"/>
      <c r="D163" s="53"/>
      <c r="E163" s="15"/>
      <c r="F163" s="15"/>
      <c r="G163" s="15"/>
      <c r="H163" s="15"/>
      <c r="I163" s="15"/>
      <c r="J163" s="15"/>
      <c r="K163" s="15"/>
      <c r="L163" s="15"/>
      <c r="M163" s="15"/>
      <c r="N163" s="15"/>
      <c r="U163" s="5"/>
      <c r="V163" s="5"/>
      <c r="W163" s="5"/>
      <c r="X163" s="5"/>
      <c r="Y163" s="5"/>
      <c r="Z163" s="5"/>
      <c r="AA163" s="5"/>
      <c r="AB163" s="5"/>
      <c r="AC163" s="5"/>
      <c r="AD163" s="5"/>
      <c r="AE163" s="5"/>
      <c r="AF163" s="5"/>
      <c r="AG163" s="5"/>
      <c r="AH163" s="5"/>
      <c r="AI163" s="5"/>
      <c r="AJ163" s="5"/>
      <c r="AK163" s="5"/>
      <c r="AL163" s="5"/>
      <c r="AM163" s="5"/>
    </row>
    <row r="164">
      <c r="B164" s="15"/>
      <c r="C164" s="53"/>
      <c r="D164" s="53"/>
      <c r="E164" s="15"/>
      <c r="F164" s="15"/>
      <c r="G164" s="15"/>
      <c r="H164" s="15"/>
      <c r="I164" s="15"/>
      <c r="J164" s="15"/>
      <c r="K164" s="15"/>
      <c r="L164" s="15"/>
      <c r="M164" s="15"/>
      <c r="N164" s="15"/>
      <c r="U164" s="5"/>
      <c r="V164" s="5"/>
      <c r="W164" s="5"/>
      <c r="X164" s="5"/>
      <c r="Y164" s="5"/>
      <c r="Z164" s="5"/>
      <c r="AA164" s="5"/>
      <c r="AB164" s="5"/>
      <c r="AC164" s="5"/>
      <c r="AD164" s="5"/>
      <c r="AE164" s="5"/>
      <c r="AF164" s="5"/>
      <c r="AG164" s="5"/>
      <c r="AH164" s="5"/>
      <c r="AI164" s="5"/>
      <c r="AJ164" s="5"/>
      <c r="AK164" s="5"/>
      <c r="AL164" s="5"/>
      <c r="AM164" s="5"/>
    </row>
    <row r="165">
      <c r="B165" s="15"/>
      <c r="C165" s="53"/>
      <c r="D165" s="53"/>
      <c r="E165" s="15"/>
      <c r="F165" s="15"/>
      <c r="G165" s="15"/>
      <c r="H165" s="15"/>
      <c r="I165" s="15"/>
      <c r="J165" s="15"/>
      <c r="K165" s="15"/>
      <c r="L165" s="15"/>
      <c r="M165" s="15"/>
      <c r="N165" s="15"/>
      <c r="U165" s="5"/>
      <c r="V165" s="5"/>
      <c r="W165" s="5"/>
      <c r="X165" s="5"/>
      <c r="Y165" s="5"/>
      <c r="Z165" s="5"/>
      <c r="AA165" s="5"/>
      <c r="AB165" s="5"/>
      <c r="AC165" s="5"/>
      <c r="AD165" s="5"/>
      <c r="AE165" s="5"/>
      <c r="AF165" s="5"/>
      <c r="AG165" s="5"/>
      <c r="AH165" s="5"/>
      <c r="AI165" s="5"/>
      <c r="AJ165" s="5"/>
      <c r="AK165" s="5"/>
      <c r="AL165" s="5"/>
      <c r="AM165" s="5"/>
    </row>
    <row r="166">
      <c r="B166" s="15"/>
      <c r="C166" s="53"/>
      <c r="D166" s="53"/>
      <c r="E166" s="15"/>
      <c r="F166" s="15"/>
      <c r="G166" s="15"/>
      <c r="H166" s="15"/>
      <c r="I166" s="15"/>
      <c r="J166" s="15"/>
      <c r="K166" s="15"/>
      <c r="L166" s="15"/>
      <c r="M166" s="15"/>
      <c r="N166" s="15"/>
      <c r="U166" s="5"/>
      <c r="V166" s="5"/>
      <c r="W166" s="5"/>
      <c r="X166" s="5"/>
      <c r="Y166" s="5"/>
      <c r="Z166" s="5"/>
      <c r="AA166" s="5"/>
      <c r="AB166" s="5"/>
      <c r="AC166" s="5"/>
      <c r="AD166" s="5"/>
      <c r="AE166" s="5"/>
      <c r="AF166" s="5"/>
      <c r="AG166" s="5"/>
      <c r="AH166" s="5"/>
      <c r="AI166" s="5"/>
      <c r="AJ166" s="5"/>
      <c r="AK166" s="5"/>
      <c r="AL166" s="5"/>
      <c r="AM166" s="5"/>
    </row>
    <row r="167">
      <c r="B167" s="15"/>
      <c r="C167" s="53"/>
      <c r="D167" s="53"/>
      <c r="E167" s="15"/>
      <c r="F167" s="15"/>
      <c r="G167" s="15"/>
      <c r="H167" s="15"/>
      <c r="I167" s="15"/>
      <c r="J167" s="15"/>
      <c r="K167" s="15"/>
      <c r="L167" s="15"/>
      <c r="M167" s="15"/>
      <c r="N167" s="15"/>
      <c r="U167" s="5"/>
      <c r="V167" s="5"/>
      <c r="W167" s="5"/>
      <c r="X167" s="5"/>
      <c r="Y167" s="5"/>
      <c r="Z167" s="5"/>
      <c r="AA167" s="5"/>
      <c r="AB167" s="5"/>
      <c r="AC167" s="5"/>
      <c r="AD167" s="5"/>
      <c r="AE167" s="5"/>
      <c r="AF167" s="5"/>
      <c r="AG167" s="5"/>
      <c r="AH167" s="5"/>
      <c r="AI167" s="5"/>
      <c r="AJ167" s="5"/>
      <c r="AK167" s="5"/>
      <c r="AL167" s="5"/>
      <c r="AM167" s="5"/>
    </row>
    <row r="168">
      <c r="B168" s="15"/>
      <c r="C168" s="53"/>
      <c r="D168" s="53"/>
      <c r="E168" s="15"/>
      <c r="F168" s="15"/>
      <c r="G168" s="15"/>
      <c r="H168" s="15"/>
      <c r="I168" s="15"/>
      <c r="J168" s="15"/>
      <c r="K168" s="15"/>
      <c r="L168" s="15"/>
      <c r="M168" s="15"/>
      <c r="N168" s="15"/>
      <c r="U168" s="5"/>
      <c r="V168" s="5"/>
      <c r="W168" s="5"/>
      <c r="X168" s="5"/>
      <c r="Y168" s="5"/>
      <c r="Z168" s="5"/>
      <c r="AA168" s="5"/>
      <c r="AB168" s="5"/>
      <c r="AC168" s="5"/>
      <c r="AD168" s="5"/>
      <c r="AE168" s="5"/>
      <c r="AF168" s="5"/>
      <c r="AG168" s="5"/>
      <c r="AH168" s="5"/>
      <c r="AI168" s="5"/>
      <c r="AJ168" s="5"/>
      <c r="AK168" s="5"/>
      <c r="AL168" s="5"/>
      <c r="AM168" s="5"/>
    </row>
    <row r="169">
      <c r="B169" s="15"/>
      <c r="C169" s="53"/>
      <c r="D169" s="53"/>
      <c r="E169" s="15"/>
      <c r="F169" s="15"/>
      <c r="G169" s="15"/>
      <c r="H169" s="15"/>
      <c r="I169" s="15"/>
      <c r="J169" s="15"/>
      <c r="K169" s="15"/>
      <c r="L169" s="15"/>
      <c r="M169" s="15"/>
      <c r="N169" s="15"/>
      <c r="U169" s="5"/>
      <c r="V169" s="5"/>
      <c r="W169" s="5"/>
      <c r="X169" s="5"/>
      <c r="Y169" s="5"/>
      <c r="Z169" s="5"/>
      <c r="AA169" s="5"/>
      <c r="AB169" s="5"/>
      <c r="AC169" s="5"/>
      <c r="AD169" s="5"/>
      <c r="AE169" s="5"/>
      <c r="AF169" s="5"/>
      <c r="AG169" s="5"/>
      <c r="AH169" s="5"/>
      <c r="AI169" s="5"/>
      <c r="AJ169" s="5"/>
      <c r="AK169" s="5"/>
      <c r="AL169" s="5"/>
      <c r="AM169" s="5"/>
    </row>
    <row r="170">
      <c r="B170" s="15"/>
      <c r="C170" s="53"/>
      <c r="D170" s="53"/>
      <c r="E170" s="15"/>
      <c r="F170" s="15"/>
      <c r="G170" s="15"/>
      <c r="H170" s="15"/>
      <c r="I170" s="15"/>
      <c r="J170" s="15"/>
      <c r="K170" s="15"/>
      <c r="L170" s="15"/>
      <c r="M170" s="15"/>
      <c r="N170" s="15"/>
      <c r="U170" s="5"/>
      <c r="V170" s="5"/>
      <c r="W170" s="5"/>
      <c r="X170" s="5"/>
      <c r="Y170" s="5"/>
      <c r="Z170" s="5"/>
      <c r="AA170" s="5"/>
      <c r="AB170" s="5"/>
      <c r="AC170" s="5"/>
      <c r="AD170" s="5"/>
      <c r="AE170" s="5"/>
      <c r="AF170" s="5"/>
      <c r="AG170" s="5"/>
      <c r="AH170" s="5"/>
      <c r="AI170" s="5"/>
      <c r="AJ170" s="5"/>
      <c r="AK170" s="5"/>
      <c r="AL170" s="5"/>
      <c r="AM170" s="5"/>
    </row>
    <row r="171">
      <c r="B171" s="15"/>
      <c r="C171" s="53"/>
      <c r="D171" s="53"/>
      <c r="E171" s="15"/>
      <c r="F171" s="15"/>
      <c r="G171" s="15"/>
      <c r="H171" s="15"/>
      <c r="I171" s="15"/>
      <c r="J171" s="15"/>
      <c r="K171" s="15"/>
      <c r="L171" s="15"/>
      <c r="M171" s="15"/>
      <c r="N171" s="15"/>
      <c r="U171" s="5"/>
      <c r="V171" s="5"/>
      <c r="W171" s="5"/>
      <c r="X171" s="5"/>
      <c r="Y171" s="5"/>
      <c r="Z171" s="5"/>
      <c r="AA171" s="5"/>
      <c r="AB171" s="5"/>
      <c r="AC171" s="5"/>
      <c r="AD171" s="5"/>
      <c r="AE171" s="5"/>
      <c r="AF171" s="5"/>
      <c r="AG171" s="5"/>
      <c r="AH171" s="5"/>
      <c r="AI171" s="5"/>
      <c r="AJ171" s="5"/>
      <c r="AK171" s="5"/>
      <c r="AL171" s="5"/>
      <c r="AM171" s="5"/>
    </row>
    <row r="172">
      <c r="B172" s="15"/>
      <c r="C172" s="53"/>
      <c r="D172" s="53"/>
      <c r="E172" s="15"/>
      <c r="F172" s="15"/>
      <c r="G172" s="15"/>
      <c r="H172" s="15"/>
      <c r="I172" s="15"/>
      <c r="J172" s="15"/>
      <c r="K172" s="15"/>
      <c r="L172" s="15"/>
      <c r="M172" s="15"/>
      <c r="N172" s="15"/>
      <c r="U172" s="5"/>
      <c r="V172" s="5"/>
      <c r="W172" s="5"/>
      <c r="X172" s="5"/>
      <c r="Y172" s="5"/>
      <c r="Z172" s="5"/>
      <c r="AA172" s="5"/>
      <c r="AB172" s="5"/>
      <c r="AC172" s="5"/>
      <c r="AD172" s="5"/>
      <c r="AE172" s="5"/>
      <c r="AF172" s="5"/>
      <c r="AG172" s="5"/>
      <c r="AH172" s="5"/>
      <c r="AI172" s="5"/>
      <c r="AJ172" s="5"/>
      <c r="AK172" s="5"/>
      <c r="AL172" s="5"/>
      <c r="AM172" s="5"/>
    </row>
    <row r="173">
      <c r="B173" s="15"/>
      <c r="C173" s="53"/>
      <c r="D173" s="53"/>
      <c r="E173" s="15"/>
      <c r="F173" s="15"/>
      <c r="G173" s="15"/>
      <c r="H173" s="15"/>
      <c r="I173" s="15"/>
      <c r="J173" s="15"/>
      <c r="K173" s="15"/>
      <c r="L173" s="15"/>
      <c r="M173" s="15"/>
      <c r="N173" s="15"/>
      <c r="U173" s="5"/>
      <c r="V173" s="5"/>
      <c r="W173" s="5"/>
      <c r="X173" s="5"/>
      <c r="Y173" s="5"/>
      <c r="Z173" s="5"/>
      <c r="AA173" s="5"/>
      <c r="AB173" s="5"/>
      <c r="AC173" s="5"/>
      <c r="AD173" s="5"/>
      <c r="AE173" s="5"/>
      <c r="AF173" s="5"/>
      <c r="AG173" s="5"/>
      <c r="AH173" s="5"/>
      <c r="AI173" s="5"/>
      <c r="AJ173" s="5"/>
      <c r="AK173" s="5"/>
      <c r="AL173" s="5"/>
      <c r="AM173" s="5"/>
    </row>
    <row r="174">
      <c r="B174" s="15"/>
      <c r="C174" s="53"/>
      <c r="D174" s="53"/>
      <c r="E174" s="15"/>
      <c r="F174" s="15"/>
      <c r="G174" s="15"/>
      <c r="H174" s="15"/>
      <c r="I174" s="15"/>
      <c r="J174" s="15"/>
      <c r="K174" s="15"/>
      <c r="L174" s="15"/>
      <c r="M174" s="15"/>
      <c r="N174" s="15"/>
      <c r="U174" s="5"/>
      <c r="V174" s="5"/>
      <c r="W174" s="5"/>
      <c r="X174" s="5"/>
      <c r="Y174" s="5"/>
      <c r="Z174" s="5"/>
      <c r="AA174" s="5"/>
      <c r="AB174" s="5"/>
      <c r="AC174" s="5"/>
      <c r="AD174" s="5"/>
      <c r="AE174" s="5"/>
      <c r="AF174" s="5"/>
      <c r="AG174" s="5"/>
      <c r="AH174" s="5"/>
      <c r="AI174" s="5"/>
      <c r="AJ174" s="5"/>
      <c r="AK174" s="5"/>
      <c r="AL174" s="5"/>
      <c r="AM174" s="5"/>
    </row>
    <row r="175">
      <c r="B175" s="15"/>
      <c r="C175" s="53"/>
      <c r="D175" s="53"/>
      <c r="E175" s="15"/>
      <c r="F175" s="15"/>
      <c r="G175" s="15"/>
      <c r="H175" s="15"/>
      <c r="I175" s="15"/>
      <c r="J175" s="15"/>
      <c r="K175" s="15"/>
      <c r="L175" s="15"/>
      <c r="M175" s="15"/>
      <c r="N175" s="15"/>
      <c r="U175" s="5"/>
      <c r="V175" s="5"/>
      <c r="W175" s="5"/>
      <c r="X175" s="5"/>
      <c r="Y175" s="5"/>
      <c r="Z175" s="5"/>
      <c r="AA175" s="5"/>
      <c r="AB175" s="5"/>
      <c r="AC175" s="5"/>
      <c r="AD175" s="5"/>
      <c r="AE175" s="5"/>
      <c r="AF175" s="5"/>
      <c r="AG175" s="5"/>
      <c r="AH175" s="5"/>
      <c r="AI175" s="5"/>
      <c r="AJ175" s="5"/>
      <c r="AK175" s="5"/>
      <c r="AL175" s="5"/>
      <c r="AM175" s="5"/>
    </row>
    <row r="176">
      <c r="B176" s="15"/>
      <c r="C176" s="53"/>
      <c r="D176" s="53"/>
      <c r="E176" s="15"/>
      <c r="F176" s="15"/>
      <c r="G176" s="15"/>
      <c r="H176" s="15"/>
      <c r="I176" s="15"/>
      <c r="J176" s="15"/>
      <c r="K176" s="15"/>
      <c r="L176" s="15"/>
      <c r="M176" s="15"/>
      <c r="N176" s="15"/>
      <c r="U176" s="5"/>
      <c r="V176" s="5"/>
      <c r="W176" s="5"/>
      <c r="X176" s="5"/>
      <c r="Y176" s="5"/>
      <c r="Z176" s="5"/>
      <c r="AA176" s="5"/>
      <c r="AB176" s="5"/>
      <c r="AC176" s="5"/>
      <c r="AD176" s="5"/>
      <c r="AE176" s="5"/>
      <c r="AF176" s="5"/>
      <c r="AG176" s="5"/>
      <c r="AH176" s="5"/>
      <c r="AI176" s="5"/>
      <c r="AJ176" s="5"/>
      <c r="AK176" s="5"/>
      <c r="AL176" s="5"/>
      <c r="AM176" s="5"/>
    </row>
    <row r="177">
      <c r="B177" s="15"/>
      <c r="C177" s="53"/>
      <c r="D177" s="53"/>
      <c r="E177" s="15"/>
      <c r="F177" s="15"/>
      <c r="G177" s="15"/>
      <c r="H177" s="15"/>
      <c r="I177" s="15"/>
      <c r="J177" s="15"/>
      <c r="K177" s="15"/>
      <c r="L177" s="15"/>
      <c r="M177" s="15"/>
      <c r="N177" s="15"/>
      <c r="U177" s="5"/>
      <c r="V177" s="5"/>
      <c r="W177" s="5"/>
      <c r="X177" s="5"/>
      <c r="Y177" s="5"/>
      <c r="Z177" s="5"/>
      <c r="AA177" s="5"/>
      <c r="AB177" s="5"/>
      <c r="AC177" s="5"/>
      <c r="AD177" s="5"/>
      <c r="AE177" s="5"/>
      <c r="AF177" s="5"/>
      <c r="AG177" s="5"/>
      <c r="AH177" s="5"/>
      <c r="AI177" s="5"/>
      <c r="AJ177" s="5"/>
      <c r="AK177" s="5"/>
      <c r="AL177" s="5"/>
      <c r="AM177" s="5"/>
    </row>
    <row r="178">
      <c r="B178" s="15"/>
      <c r="C178" s="53"/>
      <c r="D178" s="53"/>
      <c r="E178" s="15"/>
      <c r="F178" s="15"/>
      <c r="G178" s="15"/>
      <c r="H178" s="15"/>
      <c r="I178" s="15"/>
      <c r="J178" s="15"/>
      <c r="K178" s="15"/>
      <c r="L178" s="15"/>
      <c r="M178" s="15"/>
      <c r="N178" s="15"/>
      <c r="U178" s="5"/>
      <c r="V178" s="5"/>
      <c r="W178" s="5"/>
      <c r="X178" s="5"/>
      <c r="Y178" s="5"/>
      <c r="Z178" s="5"/>
      <c r="AA178" s="5"/>
      <c r="AB178" s="5"/>
      <c r="AC178" s="5"/>
      <c r="AD178" s="5"/>
      <c r="AE178" s="5"/>
      <c r="AF178" s="5"/>
      <c r="AG178" s="5"/>
      <c r="AH178" s="5"/>
      <c r="AI178" s="5"/>
      <c r="AJ178" s="5"/>
      <c r="AK178" s="5"/>
      <c r="AL178" s="5"/>
      <c r="AM178" s="5"/>
    </row>
    <row r="179">
      <c r="B179" s="15"/>
      <c r="C179" s="53"/>
      <c r="D179" s="53"/>
      <c r="E179" s="15"/>
      <c r="F179" s="15"/>
      <c r="G179" s="15"/>
      <c r="H179" s="15"/>
      <c r="I179" s="15"/>
      <c r="J179" s="15"/>
      <c r="K179" s="15"/>
      <c r="L179" s="15"/>
      <c r="M179" s="15"/>
      <c r="N179" s="15"/>
      <c r="U179" s="5"/>
      <c r="V179" s="5"/>
      <c r="W179" s="5"/>
      <c r="X179" s="5"/>
      <c r="Y179" s="5"/>
      <c r="Z179" s="5"/>
      <c r="AA179" s="5"/>
      <c r="AB179" s="5"/>
      <c r="AC179" s="5"/>
      <c r="AD179" s="5"/>
      <c r="AE179" s="5"/>
      <c r="AF179" s="5"/>
      <c r="AG179" s="5"/>
      <c r="AH179" s="5"/>
      <c r="AI179" s="5"/>
      <c r="AJ179" s="5"/>
      <c r="AK179" s="5"/>
      <c r="AL179" s="5"/>
      <c r="AM179" s="5"/>
    </row>
    <row r="180">
      <c r="B180" s="15"/>
      <c r="C180" s="53"/>
      <c r="D180" s="53"/>
      <c r="E180" s="15"/>
      <c r="F180" s="15"/>
      <c r="G180" s="15"/>
      <c r="H180" s="15"/>
      <c r="I180" s="15"/>
      <c r="J180" s="15"/>
      <c r="K180" s="15"/>
      <c r="L180" s="15"/>
      <c r="M180" s="15"/>
      <c r="N180" s="15"/>
      <c r="U180" s="5"/>
      <c r="V180" s="5"/>
      <c r="W180" s="5"/>
      <c r="X180" s="5"/>
      <c r="Y180" s="5"/>
      <c r="Z180" s="5"/>
      <c r="AA180" s="5"/>
      <c r="AB180" s="5"/>
      <c r="AC180" s="5"/>
      <c r="AD180" s="5"/>
      <c r="AE180" s="5"/>
      <c r="AF180" s="5"/>
      <c r="AG180" s="5"/>
      <c r="AH180" s="5"/>
      <c r="AI180" s="5"/>
      <c r="AJ180" s="5"/>
      <c r="AK180" s="5"/>
      <c r="AL180" s="5"/>
      <c r="AM180" s="5"/>
    </row>
    <row r="181">
      <c r="B181" s="15"/>
      <c r="C181" s="53"/>
      <c r="D181" s="53"/>
      <c r="E181" s="15"/>
      <c r="F181" s="15"/>
      <c r="G181" s="15"/>
      <c r="H181" s="15"/>
      <c r="I181" s="15"/>
      <c r="J181" s="15"/>
      <c r="K181" s="15"/>
      <c r="L181" s="15"/>
      <c r="M181" s="15"/>
      <c r="N181" s="15"/>
      <c r="U181" s="5"/>
      <c r="V181" s="5"/>
      <c r="W181" s="5"/>
      <c r="X181" s="5"/>
      <c r="Y181" s="5"/>
      <c r="Z181" s="5"/>
      <c r="AA181" s="5"/>
      <c r="AB181" s="5"/>
      <c r="AC181" s="5"/>
      <c r="AD181" s="5"/>
      <c r="AE181" s="5"/>
      <c r="AF181" s="5"/>
      <c r="AG181" s="5"/>
      <c r="AH181" s="5"/>
      <c r="AI181" s="5"/>
      <c r="AJ181" s="5"/>
      <c r="AK181" s="5"/>
      <c r="AL181" s="5"/>
      <c r="AM181" s="5"/>
    </row>
    <row r="182">
      <c r="B182" s="15"/>
      <c r="C182" s="53"/>
      <c r="D182" s="53"/>
      <c r="E182" s="15"/>
      <c r="F182" s="15"/>
      <c r="G182" s="15"/>
      <c r="H182" s="15"/>
      <c r="I182" s="15"/>
      <c r="J182" s="15"/>
      <c r="K182" s="15"/>
      <c r="L182" s="15"/>
      <c r="M182" s="15"/>
      <c r="N182" s="15"/>
      <c r="U182" s="5"/>
      <c r="V182" s="5"/>
      <c r="W182" s="5"/>
      <c r="X182" s="5"/>
      <c r="Y182" s="5"/>
      <c r="Z182" s="5"/>
      <c r="AA182" s="5"/>
      <c r="AB182" s="5"/>
      <c r="AC182" s="5"/>
      <c r="AD182" s="5"/>
      <c r="AE182" s="5"/>
      <c r="AF182" s="5"/>
      <c r="AG182" s="5"/>
      <c r="AH182" s="5"/>
      <c r="AI182" s="5"/>
      <c r="AJ182" s="5"/>
      <c r="AK182" s="5"/>
      <c r="AL182" s="5"/>
      <c r="AM182" s="5"/>
    </row>
    <row r="183">
      <c r="B183" s="15"/>
      <c r="C183" s="53"/>
      <c r="D183" s="53"/>
      <c r="E183" s="15"/>
      <c r="F183" s="15"/>
      <c r="G183" s="15"/>
      <c r="H183" s="15"/>
      <c r="I183" s="15"/>
      <c r="J183" s="15"/>
      <c r="K183" s="15"/>
      <c r="L183" s="15"/>
      <c r="M183" s="15"/>
      <c r="N183" s="15"/>
      <c r="U183" s="5"/>
      <c r="V183" s="5"/>
      <c r="W183" s="5"/>
      <c r="X183" s="5"/>
      <c r="Y183" s="5"/>
      <c r="Z183" s="5"/>
      <c r="AA183" s="5"/>
      <c r="AB183" s="5"/>
      <c r="AC183" s="5"/>
      <c r="AD183" s="5"/>
      <c r="AE183" s="5"/>
      <c r="AF183" s="5"/>
      <c r="AG183" s="5"/>
      <c r="AH183" s="5"/>
      <c r="AI183" s="5"/>
      <c r="AJ183" s="5"/>
      <c r="AK183" s="5"/>
      <c r="AL183" s="5"/>
      <c r="AM183" s="5"/>
    </row>
    <row r="184">
      <c r="B184" s="15"/>
      <c r="C184" s="53"/>
      <c r="D184" s="53"/>
      <c r="E184" s="15"/>
      <c r="F184" s="15"/>
      <c r="G184" s="15"/>
      <c r="H184" s="15"/>
      <c r="I184" s="15"/>
      <c r="J184" s="15"/>
      <c r="K184" s="15"/>
      <c r="L184" s="15"/>
      <c r="M184" s="15"/>
      <c r="N184" s="15"/>
      <c r="U184" s="5"/>
      <c r="V184" s="5"/>
      <c r="W184" s="5"/>
      <c r="X184" s="5"/>
      <c r="Y184" s="5"/>
      <c r="Z184" s="5"/>
      <c r="AA184" s="5"/>
      <c r="AB184" s="5"/>
      <c r="AC184" s="5"/>
      <c r="AD184" s="5"/>
      <c r="AE184" s="5"/>
      <c r="AF184" s="5"/>
      <c r="AG184" s="5"/>
      <c r="AH184" s="5"/>
      <c r="AI184" s="5"/>
      <c r="AJ184" s="5"/>
      <c r="AK184" s="5"/>
      <c r="AL184" s="5"/>
      <c r="AM184" s="5"/>
    </row>
    <row r="185">
      <c r="B185" s="15"/>
      <c r="C185" s="53"/>
      <c r="D185" s="53"/>
      <c r="E185" s="15"/>
      <c r="F185" s="15"/>
      <c r="G185" s="15"/>
      <c r="H185" s="15"/>
      <c r="I185" s="15"/>
      <c r="J185" s="15"/>
      <c r="K185" s="15"/>
      <c r="L185" s="15"/>
      <c r="M185" s="15"/>
      <c r="N185" s="15"/>
      <c r="U185" s="5"/>
      <c r="V185" s="5"/>
      <c r="W185" s="5"/>
      <c r="X185" s="5"/>
      <c r="Y185" s="5"/>
      <c r="Z185" s="5"/>
      <c r="AA185" s="5"/>
      <c r="AB185" s="5"/>
      <c r="AC185" s="5"/>
      <c r="AD185" s="5"/>
      <c r="AE185" s="5"/>
      <c r="AF185" s="5"/>
      <c r="AG185" s="5"/>
      <c r="AH185" s="5"/>
      <c r="AI185" s="5"/>
      <c r="AJ185" s="5"/>
      <c r="AK185" s="5"/>
      <c r="AL185" s="5"/>
      <c r="AM185" s="5"/>
    </row>
    <row r="186">
      <c r="B186" s="15"/>
      <c r="C186" s="53"/>
      <c r="D186" s="53"/>
      <c r="E186" s="15"/>
      <c r="F186" s="15"/>
      <c r="G186" s="15"/>
      <c r="H186" s="15"/>
      <c r="I186" s="15"/>
      <c r="J186" s="15"/>
      <c r="K186" s="15"/>
      <c r="L186" s="15"/>
      <c r="M186" s="15"/>
      <c r="N186" s="15"/>
      <c r="U186" s="5"/>
      <c r="V186" s="5"/>
      <c r="W186" s="5"/>
      <c r="X186" s="5"/>
      <c r="Y186" s="5"/>
      <c r="Z186" s="5"/>
      <c r="AA186" s="5"/>
      <c r="AB186" s="5"/>
      <c r="AC186" s="5"/>
      <c r="AD186" s="5"/>
      <c r="AE186" s="5"/>
      <c r="AF186" s="5"/>
      <c r="AG186" s="5"/>
      <c r="AH186" s="5"/>
      <c r="AI186" s="5"/>
      <c r="AJ186" s="5"/>
      <c r="AK186" s="5"/>
      <c r="AL186" s="5"/>
      <c r="AM186" s="5"/>
    </row>
    <row r="187">
      <c r="B187" s="15"/>
      <c r="C187" s="53"/>
      <c r="D187" s="53"/>
      <c r="E187" s="15"/>
      <c r="F187" s="15"/>
      <c r="G187" s="15"/>
      <c r="H187" s="15"/>
      <c r="I187" s="15"/>
      <c r="J187" s="15"/>
      <c r="K187" s="15"/>
      <c r="L187" s="15"/>
      <c r="M187" s="15"/>
      <c r="N187" s="15"/>
      <c r="U187" s="5"/>
      <c r="V187" s="5"/>
      <c r="W187" s="5"/>
      <c r="X187" s="5"/>
      <c r="Y187" s="5"/>
      <c r="Z187" s="5"/>
      <c r="AA187" s="5"/>
      <c r="AB187" s="5"/>
      <c r="AC187" s="5"/>
      <c r="AD187" s="5"/>
      <c r="AE187" s="5"/>
      <c r="AF187" s="5"/>
      <c r="AG187" s="5"/>
      <c r="AH187" s="5"/>
      <c r="AI187" s="5"/>
      <c r="AJ187" s="5"/>
      <c r="AK187" s="5"/>
      <c r="AL187" s="5"/>
      <c r="AM187" s="5"/>
    </row>
    <row r="188">
      <c r="B188" s="15"/>
      <c r="C188" s="53"/>
      <c r="D188" s="53"/>
      <c r="E188" s="15"/>
      <c r="F188" s="15"/>
      <c r="G188" s="15"/>
      <c r="H188" s="15"/>
      <c r="I188" s="15"/>
      <c r="J188" s="15"/>
      <c r="K188" s="15"/>
      <c r="L188" s="15"/>
      <c r="M188" s="15"/>
      <c r="N188" s="15"/>
      <c r="U188" s="5"/>
      <c r="V188" s="5"/>
      <c r="W188" s="5"/>
      <c r="X188" s="5"/>
      <c r="Y188" s="5"/>
      <c r="Z188" s="5"/>
      <c r="AA188" s="5"/>
      <c r="AB188" s="5"/>
      <c r="AC188" s="5"/>
      <c r="AD188" s="5"/>
      <c r="AE188" s="5"/>
      <c r="AF188" s="5"/>
      <c r="AG188" s="5"/>
      <c r="AH188" s="5"/>
      <c r="AI188" s="5"/>
      <c r="AJ188" s="5"/>
      <c r="AK188" s="5"/>
      <c r="AL188" s="5"/>
      <c r="AM188" s="5"/>
    </row>
    <row r="189">
      <c r="B189" s="15"/>
      <c r="C189" s="53"/>
      <c r="D189" s="53"/>
      <c r="E189" s="15"/>
      <c r="F189" s="15"/>
      <c r="G189" s="15"/>
      <c r="H189" s="15"/>
      <c r="I189" s="15"/>
      <c r="J189" s="15"/>
      <c r="K189" s="15"/>
      <c r="L189" s="15"/>
      <c r="M189" s="15"/>
      <c r="N189" s="15"/>
      <c r="U189" s="5"/>
      <c r="V189" s="5"/>
      <c r="W189" s="5"/>
      <c r="X189" s="5"/>
      <c r="Y189" s="5"/>
      <c r="Z189" s="5"/>
      <c r="AA189" s="5"/>
      <c r="AB189" s="5"/>
      <c r="AC189" s="5"/>
      <c r="AD189" s="5"/>
      <c r="AE189" s="5"/>
      <c r="AF189" s="5"/>
      <c r="AG189" s="5"/>
      <c r="AH189" s="5"/>
      <c r="AI189" s="5"/>
      <c r="AJ189" s="5"/>
      <c r="AK189" s="5"/>
      <c r="AL189" s="5"/>
      <c r="AM189" s="5"/>
    </row>
    <row r="190">
      <c r="B190" s="15"/>
      <c r="C190" s="53"/>
      <c r="D190" s="53"/>
      <c r="E190" s="15"/>
      <c r="F190" s="15"/>
      <c r="G190" s="15"/>
      <c r="H190" s="15"/>
      <c r="I190" s="15"/>
      <c r="J190" s="15"/>
      <c r="K190" s="15"/>
      <c r="L190" s="15"/>
      <c r="M190" s="15"/>
      <c r="N190" s="15"/>
      <c r="U190" s="5"/>
      <c r="V190" s="5"/>
      <c r="W190" s="5"/>
      <c r="X190" s="5"/>
      <c r="Y190" s="5"/>
      <c r="Z190" s="5"/>
      <c r="AA190" s="5"/>
      <c r="AB190" s="5"/>
      <c r="AC190" s="5"/>
      <c r="AD190" s="5"/>
      <c r="AE190" s="5"/>
      <c r="AF190" s="5"/>
      <c r="AG190" s="5"/>
      <c r="AH190" s="5"/>
      <c r="AI190" s="5"/>
      <c r="AJ190" s="5"/>
      <c r="AK190" s="5"/>
      <c r="AL190" s="5"/>
      <c r="AM190" s="5"/>
    </row>
    <row r="191">
      <c r="B191" s="15"/>
      <c r="C191" s="53"/>
      <c r="D191" s="53"/>
      <c r="E191" s="15"/>
      <c r="F191" s="15"/>
      <c r="G191" s="15"/>
      <c r="H191" s="15"/>
      <c r="I191" s="15"/>
      <c r="J191" s="15"/>
      <c r="K191" s="15"/>
      <c r="L191" s="15"/>
      <c r="M191" s="15"/>
      <c r="N191" s="15"/>
      <c r="U191" s="5"/>
      <c r="V191" s="5"/>
      <c r="W191" s="5"/>
      <c r="X191" s="5"/>
      <c r="Y191" s="5"/>
      <c r="Z191" s="5"/>
      <c r="AA191" s="5"/>
      <c r="AB191" s="5"/>
      <c r="AC191" s="5"/>
      <c r="AD191" s="5"/>
      <c r="AE191" s="5"/>
      <c r="AF191" s="5"/>
      <c r="AG191" s="5"/>
      <c r="AH191" s="5"/>
      <c r="AI191" s="5"/>
      <c r="AJ191" s="5"/>
      <c r="AK191" s="5"/>
      <c r="AL191" s="5"/>
      <c r="AM191" s="5"/>
    </row>
    <row r="192">
      <c r="B192" s="15"/>
      <c r="C192" s="53"/>
      <c r="D192" s="53"/>
      <c r="E192" s="15"/>
      <c r="F192" s="15"/>
      <c r="G192" s="15"/>
      <c r="H192" s="15"/>
      <c r="I192" s="15"/>
      <c r="J192" s="15"/>
      <c r="K192" s="15"/>
      <c r="L192" s="15"/>
      <c r="M192" s="15"/>
      <c r="N192" s="15"/>
      <c r="U192" s="5"/>
      <c r="V192" s="5"/>
      <c r="W192" s="5"/>
      <c r="X192" s="5"/>
      <c r="Y192" s="5"/>
      <c r="Z192" s="5"/>
      <c r="AA192" s="5"/>
      <c r="AB192" s="5"/>
      <c r="AC192" s="5"/>
      <c r="AD192" s="5"/>
      <c r="AE192" s="5"/>
      <c r="AF192" s="5"/>
      <c r="AG192" s="5"/>
      <c r="AH192" s="5"/>
      <c r="AI192" s="5"/>
      <c r="AJ192" s="5"/>
      <c r="AK192" s="5"/>
      <c r="AL192" s="5"/>
      <c r="AM192" s="5"/>
    </row>
    <row r="193">
      <c r="B193" s="15"/>
      <c r="C193" s="53"/>
      <c r="D193" s="53"/>
      <c r="E193" s="15"/>
      <c r="F193" s="15"/>
      <c r="G193" s="15"/>
      <c r="H193" s="15"/>
      <c r="I193" s="15"/>
      <c r="J193" s="15"/>
      <c r="K193" s="15"/>
      <c r="L193" s="15"/>
      <c r="M193" s="15"/>
      <c r="N193" s="15"/>
      <c r="U193" s="5"/>
      <c r="V193" s="5"/>
      <c r="W193" s="5"/>
      <c r="X193" s="5"/>
      <c r="Y193" s="5"/>
      <c r="Z193" s="5"/>
      <c r="AA193" s="5"/>
      <c r="AB193" s="5"/>
      <c r="AC193" s="5"/>
      <c r="AD193" s="5"/>
      <c r="AE193" s="5"/>
      <c r="AF193" s="5"/>
      <c r="AG193" s="5"/>
      <c r="AH193" s="5"/>
      <c r="AI193" s="5"/>
      <c r="AJ193" s="5"/>
      <c r="AK193" s="5"/>
      <c r="AL193" s="5"/>
      <c r="AM193" s="5"/>
    </row>
    <row r="194">
      <c r="B194" s="15"/>
      <c r="C194" s="53"/>
      <c r="D194" s="53"/>
      <c r="E194" s="15"/>
      <c r="F194" s="15"/>
      <c r="G194" s="15"/>
      <c r="H194" s="15"/>
      <c r="I194" s="15"/>
      <c r="J194" s="15"/>
      <c r="K194" s="15"/>
      <c r="L194" s="15"/>
      <c r="M194" s="15"/>
      <c r="N194" s="15"/>
      <c r="U194" s="5"/>
      <c r="V194" s="5"/>
      <c r="W194" s="5"/>
      <c r="X194" s="5"/>
      <c r="Y194" s="5"/>
      <c r="Z194" s="5"/>
      <c r="AA194" s="5"/>
      <c r="AB194" s="5"/>
      <c r="AC194" s="5"/>
      <c r="AD194" s="5"/>
      <c r="AE194" s="5"/>
      <c r="AF194" s="5"/>
      <c r="AG194" s="5"/>
      <c r="AH194" s="5"/>
      <c r="AI194" s="5"/>
      <c r="AJ194" s="5"/>
      <c r="AK194" s="5"/>
      <c r="AL194" s="5"/>
      <c r="AM194" s="5"/>
    </row>
    <row r="195">
      <c r="B195" s="15"/>
      <c r="C195" s="53"/>
      <c r="D195" s="53"/>
      <c r="E195" s="15"/>
      <c r="F195" s="15"/>
      <c r="G195" s="15"/>
      <c r="H195" s="15"/>
      <c r="I195" s="15"/>
      <c r="J195" s="15"/>
      <c r="K195" s="15"/>
      <c r="L195" s="15"/>
      <c r="M195" s="15"/>
      <c r="N195" s="15"/>
      <c r="U195" s="5"/>
      <c r="V195" s="5"/>
      <c r="W195" s="5"/>
      <c r="X195" s="5"/>
      <c r="Y195" s="5"/>
      <c r="Z195" s="5"/>
      <c r="AA195" s="5"/>
      <c r="AB195" s="5"/>
      <c r="AC195" s="5"/>
      <c r="AD195" s="5"/>
      <c r="AE195" s="5"/>
      <c r="AF195" s="5"/>
      <c r="AG195" s="5"/>
      <c r="AH195" s="5"/>
      <c r="AI195" s="5"/>
      <c r="AJ195" s="5"/>
      <c r="AK195" s="5"/>
      <c r="AL195" s="5"/>
      <c r="AM195" s="5"/>
    </row>
    <row r="196">
      <c r="B196" s="15"/>
      <c r="C196" s="53"/>
      <c r="D196" s="53"/>
      <c r="E196" s="15"/>
      <c r="F196" s="15"/>
      <c r="G196" s="15"/>
      <c r="H196" s="15"/>
      <c r="I196" s="15"/>
      <c r="J196" s="15"/>
      <c r="K196" s="15"/>
      <c r="L196" s="15"/>
      <c r="M196" s="15"/>
      <c r="N196" s="15"/>
      <c r="U196" s="5"/>
      <c r="V196" s="5"/>
      <c r="W196" s="5"/>
      <c r="X196" s="5"/>
      <c r="Y196" s="5"/>
      <c r="Z196" s="5"/>
      <c r="AA196" s="5"/>
      <c r="AB196" s="5"/>
      <c r="AC196" s="5"/>
      <c r="AD196" s="5"/>
      <c r="AE196" s="5"/>
      <c r="AF196" s="5"/>
      <c r="AG196" s="5"/>
      <c r="AH196" s="5"/>
      <c r="AI196" s="5"/>
      <c r="AJ196" s="5"/>
      <c r="AK196" s="5"/>
      <c r="AL196" s="5"/>
      <c r="AM196" s="5"/>
    </row>
    <row r="197">
      <c r="B197" s="15"/>
      <c r="C197" s="53"/>
      <c r="D197" s="53"/>
      <c r="E197" s="15"/>
      <c r="F197" s="15"/>
      <c r="G197" s="15"/>
      <c r="H197" s="15"/>
      <c r="I197" s="15"/>
      <c r="J197" s="15"/>
      <c r="K197" s="15"/>
      <c r="L197" s="15"/>
      <c r="M197" s="15"/>
      <c r="N197" s="15"/>
      <c r="U197" s="5"/>
      <c r="V197" s="5"/>
      <c r="W197" s="5"/>
      <c r="X197" s="5"/>
      <c r="Y197" s="5"/>
      <c r="Z197" s="5"/>
      <c r="AA197" s="5"/>
      <c r="AB197" s="5"/>
      <c r="AC197" s="5"/>
      <c r="AD197" s="5"/>
      <c r="AE197" s="5"/>
      <c r="AF197" s="5"/>
      <c r="AG197" s="5"/>
      <c r="AH197" s="5"/>
      <c r="AI197" s="5"/>
      <c r="AJ197" s="5"/>
      <c r="AK197" s="5"/>
      <c r="AL197" s="5"/>
      <c r="AM197" s="5"/>
    </row>
    <row r="198">
      <c r="B198" s="15"/>
      <c r="C198" s="53"/>
      <c r="D198" s="53"/>
      <c r="E198" s="15"/>
      <c r="F198" s="15"/>
      <c r="G198" s="15"/>
      <c r="H198" s="15"/>
      <c r="I198" s="15"/>
      <c r="J198" s="15"/>
      <c r="K198" s="15"/>
      <c r="L198" s="15"/>
      <c r="M198" s="15"/>
      <c r="N198" s="15"/>
      <c r="U198" s="5"/>
      <c r="V198" s="5"/>
      <c r="W198" s="5"/>
      <c r="X198" s="5"/>
      <c r="Y198" s="5"/>
      <c r="Z198" s="5"/>
      <c r="AA198" s="5"/>
      <c r="AB198" s="5"/>
      <c r="AC198" s="5"/>
      <c r="AD198" s="5"/>
      <c r="AE198" s="5"/>
      <c r="AF198" s="5"/>
      <c r="AG198" s="5"/>
      <c r="AH198" s="5"/>
      <c r="AI198" s="5"/>
      <c r="AJ198" s="5"/>
      <c r="AK198" s="5"/>
      <c r="AL198" s="5"/>
      <c r="AM198" s="5"/>
    </row>
    <row r="199">
      <c r="B199" s="15"/>
      <c r="C199" s="53"/>
      <c r="D199" s="53"/>
      <c r="E199" s="15"/>
      <c r="F199" s="15"/>
      <c r="G199" s="15"/>
      <c r="H199" s="15"/>
      <c r="I199" s="15"/>
      <c r="J199" s="15"/>
      <c r="K199" s="15"/>
      <c r="L199" s="15"/>
      <c r="M199" s="15"/>
      <c r="N199" s="15"/>
      <c r="U199" s="5"/>
      <c r="V199" s="5"/>
      <c r="W199" s="5"/>
      <c r="X199" s="5"/>
      <c r="Y199" s="5"/>
      <c r="Z199" s="5"/>
      <c r="AA199" s="5"/>
      <c r="AB199" s="5"/>
      <c r="AC199" s="5"/>
      <c r="AD199" s="5"/>
      <c r="AE199" s="5"/>
      <c r="AF199" s="5"/>
      <c r="AG199" s="5"/>
      <c r="AH199" s="5"/>
      <c r="AI199" s="5"/>
      <c r="AJ199" s="5"/>
      <c r="AK199" s="5"/>
      <c r="AL199" s="5"/>
      <c r="AM199" s="5"/>
    </row>
    <row r="200">
      <c r="B200" s="15"/>
      <c r="C200" s="53"/>
      <c r="D200" s="53"/>
      <c r="E200" s="15"/>
      <c r="F200" s="15"/>
      <c r="G200" s="15"/>
      <c r="H200" s="15"/>
      <c r="I200" s="15"/>
      <c r="J200" s="15"/>
      <c r="K200" s="15"/>
      <c r="L200" s="15"/>
      <c r="M200" s="15"/>
      <c r="N200" s="15"/>
      <c r="U200" s="5"/>
      <c r="V200" s="5"/>
      <c r="W200" s="5"/>
      <c r="X200" s="5"/>
      <c r="Y200" s="5"/>
      <c r="Z200" s="5"/>
      <c r="AA200" s="5"/>
      <c r="AB200" s="5"/>
      <c r="AC200" s="5"/>
      <c r="AD200" s="5"/>
      <c r="AE200" s="5"/>
      <c r="AF200" s="5"/>
      <c r="AG200" s="5"/>
      <c r="AH200" s="5"/>
      <c r="AI200" s="5"/>
      <c r="AJ200" s="5"/>
      <c r="AK200" s="5"/>
      <c r="AL200" s="5"/>
      <c r="AM200" s="5"/>
    </row>
    <row r="201">
      <c r="B201" s="15"/>
      <c r="C201" s="53"/>
      <c r="D201" s="53"/>
      <c r="E201" s="15"/>
      <c r="F201" s="15"/>
      <c r="G201" s="15"/>
      <c r="H201" s="15"/>
      <c r="I201" s="15"/>
      <c r="J201" s="15"/>
      <c r="K201" s="15"/>
      <c r="L201" s="15"/>
      <c r="M201" s="15"/>
      <c r="N201" s="15"/>
      <c r="U201" s="5"/>
      <c r="V201" s="5"/>
      <c r="W201" s="5"/>
      <c r="X201" s="5"/>
      <c r="Y201" s="5"/>
      <c r="Z201" s="5"/>
      <c r="AA201" s="5"/>
      <c r="AB201" s="5"/>
      <c r="AC201" s="5"/>
      <c r="AD201" s="5"/>
      <c r="AE201" s="5"/>
      <c r="AF201" s="5"/>
      <c r="AG201" s="5"/>
      <c r="AH201" s="5"/>
      <c r="AI201" s="5"/>
      <c r="AJ201" s="5"/>
      <c r="AK201" s="5"/>
      <c r="AL201" s="5"/>
      <c r="AM201" s="5"/>
    </row>
    <row r="202">
      <c r="B202" s="15"/>
      <c r="C202" s="53"/>
      <c r="D202" s="53"/>
      <c r="E202" s="15"/>
      <c r="F202" s="15"/>
      <c r="G202" s="15"/>
      <c r="H202" s="15"/>
      <c r="I202" s="15"/>
      <c r="J202" s="15"/>
      <c r="K202" s="15"/>
      <c r="L202" s="15"/>
      <c r="M202" s="15"/>
      <c r="N202" s="15"/>
      <c r="U202" s="5"/>
      <c r="V202" s="5"/>
      <c r="W202" s="5"/>
      <c r="X202" s="5"/>
      <c r="Y202" s="5"/>
      <c r="Z202" s="5"/>
      <c r="AA202" s="5"/>
      <c r="AB202" s="5"/>
      <c r="AC202" s="5"/>
      <c r="AD202" s="5"/>
      <c r="AE202" s="5"/>
      <c r="AF202" s="5"/>
      <c r="AG202" s="5"/>
      <c r="AH202" s="5"/>
      <c r="AI202" s="5"/>
      <c r="AJ202" s="5"/>
      <c r="AK202" s="5"/>
      <c r="AL202" s="5"/>
      <c r="AM202" s="5"/>
    </row>
    <row r="203">
      <c r="B203" s="15"/>
      <c r="C203" s="53"/>
      <c r="D203" s="53"/>
      <c r="E203" s="15"/>
      <c r="F203" s="15"/>
      <c r="G203" s="15"/>
      <c r="H203" s="15"/>
      <c r="I203" s="15"/>
      <c r="J203" s="15"/>
      <c r="K203" s="15"/>
      <c r="L203" s="15"/>
      <c r="M203" s="15"/>
      <c r="N203" s="15"/>
      <c r="U203" s="5"/>
      <c r="V203" s="5"/>
      <c r="W203" s="5"/>
      <c r="X203" s="5"/>
      <c r="Y203" s="5"/>
      <c r="Z203" s="5"/>
      <c r="AA203" s="5"/>
      <c r="AB203" s="5"/>
      <c r="AC203" s="5"/>
      <c r="AD203" s="5"/>
      <c r="AE203" s="5"/>
      <c r="AF203" s="5"/>
      <c r="AG203" s="5"/>
      <c r="AH203" s="5"/>
      <c r="AI203" s="5"/>
      <c r="AJ203" s="5"/>
      <c r="AK203" s="5"/>
      <c r="AL203" s="5"/>
      <c r="AM203" s="5"/>
    </row>
    <row r="204">
      <c r="B204" s="15"/>
      <c r="C204" s="53"/>
      <c r="D204" s="53"/>
      <c r="E204" s="15"/>
      <c r="F204" s="15"/>
      <c r="G204" s="15"/>
      <c r="H204" s="15"/>
      <c r="I204" s="15"/>
      <c r="J204" s="15"/>
      <c r="K204" s="15"/>
      <c r="L204" s="15"/>
      <c r="M204" s="15"/>
      <c r="N204" s="15"/>
      <c r="U204" s="5"/>
      <c r="V204" s="5"/>
      <c r="W204" s="5"/>
      <c r="X204" s="5"/>
      <c r="Y204" s="5"/>
      <c r="Z204" s="5"/>
      <c r="AA204" s="5"/>
      <c r="AB204" s="5"/>
      <c r="AC204" s="5"/>
      <c r="AD204" s="5"/>
      <c r="AE204" s="5"/>
      <c r="AF204" s="5"/>
      <c r="AG204" s="5"/>
      <c r="AH204" s="5"/>
      <c r="AI204" s="5"/>
      <c r="AJ204" s="5"/>
      <c r="AK204" s="5"/>
      <c r="AL204" s="5"/>
      <c r="AM204" s="5"/>
    </row>
    <row r="205">
      <c r="B205" s="15"/>
      <c r="C205" s="53"/>
      <c r="D205" s="53"/>
      <c r="E205" s="15"/>
      <c r="F205" s="15"/>
      <c r="G205" s="15"/>
      <c r="H205" s="15"/>
      <c r="I205" s="15"/>
      <c r="J205" s="15"/>
      <c r="K205" s="15"/>
      <c r="L205" s="15"/>
      <c r="M205" s="15"/>
      <c r="N205" s="15"/>
      <c r="U205" s="5"/>
      <c r="V205" s="5"/>
      <c r="W205" s="5"/>
      <c r="X205" s="5"/>
      <c r="Y205" s="5"/>
      <c r="Z205" s="5"/>
      <c r="AA205" s="5"/>
      <c r="AB205" s="5"/>
      <c r="AC205" s="5"/>
      <c r="AD205" s="5"/>
      <c r="AE205" s="5"/>
      <c r="AF205" s="5"/>
      <c r="AG205" s="5"/>
      <c r="AH205" s="5"/>
      <c r="AI205" s="5"/>
      <c r="AJ205" s="5"/>
      <c r="AK205" s="5"/>
      <c r="AL205" s="5"/>
      <c r="AM205" s="5"/>
    </row>
    <row r="206">
      <c r="B206" s="15"/>
      <c r="C206" s="53"/>
      <c r="D206" s="53"/>
      <c r="E206" s="15"/>
      <c r="F206" s="15"/>
      <c r="G206" s="15"/>
      <c r="H206" s="15"/>
      <c r="I206" s="15"/>
      <c r="J206" s="15"/>
      <c r="K206" s="15"/>
      <c r="L206" s="15"/>
      <c r="M206" s="15"/>
      <c r="N206" s="15"/>
      <c r="U206" s="5"/>
      <c r="V206" s="5"/>
      <c r="W206" s="5"/>
      <c r="X206" s="5"/>
      <c r="Y206" s="5"/>
      <c r="Z206" s="5"/>
      <c r="AA206" s="5"/>
      <c r="AB206" s="5"/>
      <c r="AC206" s="5"/>
      <c r="AD206" s="5"/>
      <c r="AE206" s="5"/>
      <c r="AF206" s="5"/>
      <c r="AG206" s="5"/>
      <c r="AH206" s="5"/>
      <c r="AI206" s="5"/>
      <c r="AJ206" s="5"/>
      <c r="AK206" s="5"/>
      <c r="AL206" s="5"/>
      <c r="AM206" s="5"/>
    </row>
    <row r="207">
      <c r="B207" s="15"/>
      <c r="C207" s="53"/>
      <c r="D207" s="53"/>
      <c r="E207" s="15"/>
      <c r="F207" s="15"/>
      <c r="G207" s="15"/>
      <c r="H207" s="15"/>
      <c r="I207" s="15"/>
      <c r="J207" s="15"/>
      <c r="K207" s="15"/>
      <c r="L207" s="15"/>
      <c r="M207" s="15"/>
      <c r="N207" s="15"/>
      <c r="U207" s="5"/>
      <c r="V207" s="5"/>
      <c r="W207" s="5"/>
      <c r="X207" s="5"/>
      <c r="Y207" s="5"/>
      <c r="Z207" s="5"/>
      <c r="AA207" s="5"/>
      <c r="AB207" s="5"/>
      <c r="AC207" s="5"/>
      <c r="AD207" s="5"/>
      <c r="AE207" s="5"/>
      <c r="AF207" s="5"/>
      <c r="AG207" s="5"/>
      <c r="AH207" s="5"/>
      <c r="AI207" s="5"/>
      <c r="AJ207" s="5"/>
      <c r="AK207" s="5"/>
      <c r="AL207" s="5"/>
      <c r="AM207" s="5"/>
    </row>
    <row r="208">
      <c r="B208" s="15"/>
      <c r="C208" s="53"/>
      <c r="D208" s="53"/>
      <c r="E208" s="15"/>
      <c r="F208" s="15"/>
      <c r="G208" s="15"/>
      <c r="H208" s="15"/>
      <c r="I208" s="15"/>
      <c r="J208" s="15"/>
      <c r="K208" s="15"/>
      <c r="L208" s="15"/>
      <c r="M208" s="15"/>
      <c r="N208" s="15"/>
      <c r="U208" s="5"/>
      <c r="V208" s="5"/>
      <c r="W208" s="5"/>
      <c r="X208" s="5"/>
      <c r="Y208" s="5"/>
      <c r="Z208" s="5"/>
      <c r="AA208" s="5"/>
      <c r="AB208" s="5"/>
      <c r="AC208" s="5"/>
      <c r="AD208" s="5"/>
      <c r="AE208" s="5"/>
      <c r="AF208" s="5"/>
      <c r="AG208" s="5"/>
      <c r="AH208" s="5"/>
      <c r="AI208" s="5"/>
      <c r="AJ208" s="5"/>
      <c r="AK208" s="5"/>
      <c r="AL208" s="5"/>
      <c r="AM208" s="5"/>
    </row>
    <row r="209">
      <c r="B209" s="15"/>
      <c r="C209" s="53"/>
      <c r="D209" s="53"/>
      <c r="E209" s="15"/>
      <c r="F209" s="15"/>
      <c r="G209" s="15"/>
      <c r="H209" s="15"/>
      <c r="I209" s="15"/>
      <c r="J209" s="15"/>
      <c r="K209" s="15"/>
      <c r="L209" s="15"/>
      <c r="M209" s="15"/>
      <c r="N209" s="15"/>
      <c r="U209" s="5"/>
      <c r="V209" s="5"/>
      <c r="W209" s="5"/>
      <c r="X209" s="5"/>
      <c r="Y209" s="5"/>
      <c r="Z209" s="5"/>
      <c r="AA209" s="5"/>
      <c r="AB209" s="5"/>
      <c r="AC209" s="5"/>
      <c r="AD209" s="5"/>
      <c r="AE209" s="5"/>
      <c r="AF209" s="5"/>
      <c r="AG209" s="5"/>
      <c r="AH209" s="5"/>
      <c r="AI209" s="5"/>
      <c r="AJ209" s="5"/>
      <c r="AK209" s="5"/>
      <c r="AL209" s="5"/>
      <c r="AM209" s="5"/>
    </row>
    <row r="210">
      <c r="B210" s="15"/>
      <c r="C210" s="53"/>
      <c r="D210" s="53"/>
      <c r="E210" s="15"/>
      <c r="F210" s="15"/>
      <c r="G210" s="15"/>
      <c r="H210" s="15"/>
      <c r="I210" s="15"/>
      <c r="J210" s="15"/>
      <c r="K210" s="15"/>
      <c r="L210" s="15"/>
      <c r="M210" s="15"/>
      <c r="N210" s="15"/>
      <c r="U210" s="5"/>
      <c r="V210" s="5"/>
      <c r="W210" s="5"/>
      <c r="X210" s="5"/>
      <c r="Y210" s="5"/>
      <c r="Z210" s="5"/>
      <c r="AA210" s="5"/>
      <c r="AB210" s="5"/>
      <c r="AC210" s="5"/>
      <c r="AD210" s="5"/>
      <c r="AE210" s="5"/>
      <c r="AF210" s="5"/>
      <c r="AG210" s="5"/>
      <c r="AH210" s="5"/>
      <c r="AI210" s="5"/>
      <c r="AJ210" s="5"/>
      <c r="AK210" s="5"/>
      <c r="AL210" s="5"/>
      <c r="AM210" s="5"/>
    </row>
    <row r="211">
      <c r="B211" s="15"/>
      <c r="C211" s="53"/>
      <c r="D211" s="53"/>
      <c r="E211" s="15"/>
      <c r="F211" s="15"/>
      <c r="G211" s="15"/>
      <c r="H211" s="15"/>
      <c r="I211" s="15"/>
      <c r="J211" s="15"/>
      <c r="K211" s="15"/>
      <c r="L211" s="15"/>
      <c r="M211" s="15"/>
      <c r="N211" s="15"/>
      <c r="U211" s="5"/>
      <c r="V211" s="5"/>
      <c r="W211" s="5"/>
      <c r="X211" s="5"/>
      <c r="Y211" s="5"/>
      <c r="Z211" s="5"/>
      <c r="AA211" s="5"/>
      <c r="AB211" s="5"/>
      <c r="AC211" s="5"/>
      <c r="AD211" s="5"/>
      <c r="AE211" s="5"/>
      <c r="AF211" s="5"/>
      <c r="AG211" s="5"/>
      <c r="AH211" s="5"/>
      <c r="AI211" s="5"/>
      <c r="AJ211" s="5"/>
      <c r="AK211" s="5"/>
      <c r="AL211" s="5"/>
      <c r="AM211" s="5"/>
    </row>
    <row r="212">
      <c r="B212" s="15"/>
      <c r="C212" s="53"/>
      <c r="D212" s="53"/>
      <c r="E212" s="15"/>
      <c r="F212" s="15"/>
      <c r="G212" s="15"/>
      <c r="H212" s="15"/>
      <c r="I212" s="15"/>
      <c r="J212" s="15"/>
      <c r="K212" s="15"/>
      <c r="L212" s="15"/>
      <c r="M212" s="15"/>
      <c r="N212" s="15"/>
      <c r="U212" s="5"/>
      <c r="V212" s="5"/>
      <c r="W212" s="5"/>
      <c r="X212" s="5"/>
      <c r="Y212" s="5"/>
      <c r="Z212" s="5"/>
      <c r="AA212" s="5"/>
      <c r="AB212" s="5"/>
      <c r="AC212" s="5"/>
      <c r="AD212" s="5"/>
      <c r="AE212" s="5"/>
      <c r="AF212" s="5"/>
      <c r="AG212" s="5"/>
      <c r="AH212" s="5"/>
      <c r="AI212" s="5"/>
      <c r="AJ212" s="5"/>
      <c r="AK212" s="5"/>
      <c r="AL212" s="5"/>
      <c r="AM212" s="5"/>
    </row>
    <row r="213">
      <c r="B213" s="15"/>
      <c r="C213" s="53"/>
      <c r="D213" s="53"/>
      <c r="E213" s="15"/>
      <c r="F213" s="15"/>
      <c r="G213" s="15"/>
      <c r="H213" s="15"/>
      <c r="I213" s="15"/>
      <c r="J213" s="15"/>
      <c r="K213" s="15"/>
      <c r="L213" s="15"/>
      <c r="M213" s="15"/>
      <c r="N213" s="15"/>
      <c r="U213" s="5"/>
      <c r="V213" s="5"/>
      <c r="W213" s="5"/>
      <c r="X213" s="5"/>
      <c r="Y213" s="5"/>
      <c r="Z213" s="5"/>
      <c r="AA213" s="5"/>
      <c r="AB213" s="5"/>
      <c r="AC213" s="5"/>
      <c r="AD213" s="5"/>
      <c r="AE213" s="5"/>
      <c r="AF213" s="5"/>
      <c r="AG213" s="5"/>
      <c r="AH213" s="5"/>
      <c r="AI213" s="5"/>
      <c r="AJ213" s="5"/>
      <c r="AK213" s="5"/>
      <c r="AL213" s="5"/>
      <c r="AM213" s="5"/>
    </row>
    <row r="214">
      <c r="B214" s="15"/>
      <c r="C214" s="53"/>
      <c r="D214" s="53"/>
      <c r="E214" s="15"/>
      <c r="F214" s="15"/>
      <c r="G214" s="15"/>
      <c r="H214" s="15"/>
      <c r="I214" s="15"/>
      <c r="J214" s="15"/>
      <c r="K214" s="15"/>
      <c r="L214" s="15"/>
      <c r="M214" s="15"/>
      <c r="N214" s="15"/>
      <c r="U214" s="5"/>
      <c r="V214" s="5"/>
      <c r="W214" s="5"/>
      <c r="X214" s="5"/>
      <c r="Y214" s="5"/>
      <c r="Z214" s="5"/>
      <c r="AA214" s="5"/>
      <c r="AB214" s="5"/>
      <c r="AC214" s="5"/>
      <c r="AD214" s="5"/>
      <c r="AE214" s="5"/>
      <c r="AF214" s="5"/>
      <c r="AG214" s="5"/>
      <c r="AH214" s="5"/>
      <c r="AI214" s="5"/>
      <c r="AJ214" s="5"/>
      <c r="AK214" s="5"/>
      <c r="AL214" s="5"/>
      <c r="AM214" s="5"/>
    </row>
    <row r="215">
      <c r="B215" s="15"/>
      <c r="C215" s="53"/>
      <c r="D215" s="53"/>
      <c r="E215" s="15"/>
      <c r="F215" s="15"/>
      <c r="G215" s="15"/>
      <c r="H215" s="15"/>
      <c r="I215" s="15"/>
      <c r="J215" s="15"/>
      <c r="K215" s="15"/>
      <c r="L215" s="15"/>
      <c r="M215" s="15"/>
      <c r="N215" s="15"/>
      <c r="U215" s="5"/>
      <c r="V215" s="5"/>
      <c r="W215" s="5"/>
      <c r="X215" s="5"/>
      <c r="Y215" s="5"/>
      <c r="Z215" s="5"/>
      <c r="AA215" s="5"/>
      <c r="AB215" s="5"/>
      <c r="AC215" s="5"/>
      <c r="AD215" s="5"/>
      <c r="AE215" s="5"/>
      <c r="AF215" s="5"/>
      <c r="AG215" s="5"/>
      <c r="AH215" s="5"/>
      <c r="AI215" s="5"/>
      <c r="AJ215" s="5"/>
      <c r="AK215" s="5"/>
      <c r="AL215" s="5"/>
      <c r="AM215" s="5"/>
    </row>
    <row r="216">
      <c r="B216" s="15"/>
      <c r="C216" s="53"/>
      <c r="D216" s="53"/>
      <c r="E216" s="15"/>
      <c r="F216" s="15"/>
      <c r="G216" s="15"/>
      <c r="H216" s="15"/>
      <c r="I216" s="15"/>
      <c r="J216" s="15"/>
      <c r="K216" s="15"/>
      <c r="L216" s="15"/>
      <c r="M216" s="15"/>
      <c r="N216" s="15"/>
      <c r="U216" s="5"/>
      <c r="V216" s="5"/>
      <c r="W216" s="5"/>
      <c r="X216" s="5"/>
      <c r="Y216" s="5"/>
      <c r="Z216" s="5"/>
      <c r="AA216" s="5"/>
      <c r="AB216" s="5"/>
      <c r="AC216" s="5"/>
      <c r="AD216" s="5"/>
      <c r="AE216" s="5"/>
      <c r="AF216" s="5"/>
      <c r="AG216" s="5"/>
      <c r="AH216" s="5"/>
      <c r="AI216" s="5"/>
      <c r="AJ216" s="5"/>
      <c r="AK216" s="5"/>
      <c r="AL216" s="5"/>
      <c r="AM216" s="5"/>
    </row>
    <row r="217">
      <c r="B217" s="15"/>
      <c r="C217" s="53"/>
      <c r="D217" s="53"/>
      <c r="E217" s="15"/>
      <c r="F217" s="15"/>
      <c r="G217" s="15"/>
      <c r="H217" s="15"/>
      <c r="I217" s="15"/>
      <c r="J217" s="15"/>
      <c r="K217" s="15"/>
      <c r="L217" s="15"/>
      <c r="M217" s="15"/>
      <c r="N217" s="15"/>
      <c r="U217" s="5"/>
      <c r="V217" s="5"/>
      <c r="W217" s="5"/>
      <c r="X217" s="5"/>
      <c r="Y217" s="5"/>
      <c r="Z217" s="5"/>
      <c r="AA217" s="5"/>
      <c r="AB217" s="5"/>
      <c r="AC217" s="5"/>
      <c r="AD217" s="5"/>
      <c r="AE217" s="5"/>
      <c r="AF217" s="5"/>
      <c r="AG217" s="5"/>
      <c r="AH217" s="5"/>
      <c r="AI217" s="5"/>
      <c r="AJ217" s="5"/>
      <c r="AK217" s="5"/>
      <c r="AL217" s="5"/>
      <c r="AM217" s="5"/>
    </row>
    <row r="218">
      <c r="B218" s="15"/>
      <c r="C218" s="53"/>
      <c r="D218" s="53"/>
      <c r="E218" s="15"/>
      <c r="F218" s="15"/>
      <c r="G218" s="15"/>
      <c r="H218" s="15"/>
      <c r="I218" s="15"/>
      <c r="J218" s="15"/>
      <c r="K218" s="15"/>
      <c r="L218" s="15"/>
      <c r="M218" s="15"/>
      <c r="N218" s="15"/>
      <c r="U218" s="5"/>
      <c r="V218" s="5"/>
      <c r="W218" s="5"/>
      <c r="X218" s="5"/>
      <c r="Y218" s="5"/>
      <c r="Z218" s="5"/>
      <c r="AA218" s="5"/>
      <c r="AB218" s="5"/>
      <c r="AC218" s="5"/>
      <c r="AD218" s="5"/>
      <c r="AE218" s="5"/>
      <c r="AF218" s="5"/>
      <c r="AG218" s="5"/>
      <c r="AH218" s="5"/>
      <c r="AI218" s="5"/>
      <c r="AJ218" s="5"/>
      <c r="AK218" s="5"/>
      <c r="AL218" s="5"/>
      <c r="AM218" s="5"/>
    </row>
    <row r="219">
      <c r="B219" s="15"/>
      <c r="C219" s="53"/>
      <c r="D219" s="53"/>
      <c r="E219" s="15"/>
      <c r="F219" s="15"/>
      <c r="G219" s="15"/>
      <c r="H219" s="15"/>
      <c r="I219" s="15"/>
      <c r="J219" s="15"/>
      <c r="K219" s="15"/>
      <c r="L219" s="15"/>
      <c r="M219" s="15"/>
      <c r="N219" s="15"/>
      <c r="U219" s="5"/>
      <c r="V219" s="5"/>
      <c r="W219" s="5"/>
      <c r="X219" s="5"/>
      <c r="Y219" s="5"/>
      <c r="Z219" s="5"/>
      <c r="AA219" s="5"/>
      <c r="AB219" s="5"/>
      <c r="AC219" s="5"/>
      <c r="AD219" s="5"/>
      <c r="AE219" s="5"/>
      <c r="AF219" s="5"/>
      <c r="AG219" s="5"/>
      <c r="AH219" s="5"/>
      <c r="AI219" s="5"/>
      <c r="AJ219" s="5"/>
      <c r="AK219" s="5"/>
      <c r="AL219" s="5"/>
      <c r="AM219" s="5"/>
    </row>
    <row r="220">
      <c r="B220" s="15"/>
      <c r="C220" s="53"/>
      <c r="D220" s="53"/>
      <c r="E220" s="15"/>
      <c r="F220" s="15"/>
      <c r="G220" s="15"/>
      <c r="H220" s="15"/>
      <c r="I220" s="15"/>
      <c r="J220" s="15"/>
      <c r="K220" s="15"/>
      <c r="L220" s="15"/>
      <c r="M220" s="15"/>
      <c r="N220" s="15"/>
      <c r="U220" s="5"/>
      <c r="V220" s="5"/>
      <c r="W220" s="5"/>
      <c r="X220" s="5"/>
      <c r="Y220" s="5"/>
      <c r="Z220" s="5"/>
      <c r="AA220" s="5"/>
      <c r="AB220" s="5"/>
      <c r="AC220" s="5"/>
      <c r="AD220" s="5"/>
      <c r="AE220" s="5"/>
      <c r="AF220" s="5"/>
      <c r="AG220" s="5"/>
      <c r="AH220" s="5"/>
      <c r="AI220" s="5"/>
      <c r="AJ220" s="5"/>
      <c r="AK220" s="5"/>
      <c r="AL220" s="5"/>
      <c r="AM220" s="5"/>
    </row>
    <row r="221">
      <c r="B221" s="15"/>
      <c r="C221" s="53"/>
      <c r="D221" s="53"/>
      <c r="E221" s="15"/>
      <c r="F221" s="15"/>
      <c r="G221" s="15"/>
      <c r="H221" s="15"/>
      <c r="I221" s="15"/>
      <c r="J221" s="15"/>
      <c r="K221" s="15"/>
      <c r="L221" s="15"/>
      <c r="M221" s="15"/>
      <c r="N221" s="15"/>
      <c r="U221" s="5"/>
      <c r="V221" s="5"/>
      <c r="W221" s="5"/>
      <c r="X221" s="5"/>
      <c r="Y221" s="5"/>
      <c r="Z221" s="5"/>
      <c r="AA221" s="5"/>
      <c r="AB221" s="5"/>
      <c r="AC221" s="5"/>
      <c r="AD221" s="5"/>
      <c r="AE221" s="5"/>
      <c r="AF221" s="5"/>
      <c r="AG221" s="5"/>
      <c r="AH221" s="5"/>
      <c r="AI221" s="5"/>
      <c r="AJ221" s="5"/>
      <c r="AK221" s="5"/>
      <c r="AL221" s="5"/>
      <c r="AM221" s="5"/>
    </row>
    <row r="222">
      <c r="B222" s="15"/>
      <c r="C222" s="53"/>
      <c r="D222" s="53"/>
      <c r="E222" s="15"/>
      <c r="F222" s="15"/>
      <c r="G222" s="15"/>
      <c r="H222" s="15"/>
      <c r="I222" s="15"/>
      <c r="J222" s="15"/>
      <c r="K222" s="15"/>
      <c r="L222" s="15"/>
      <c r="M222" s="15"/>
      <c r="N222" s="15"/>
      <c r="U222" s="5"/>
      <c r="V222" s="5"/>
      <c r="W222" s="5"/>
      <c r="X222" s="5"/>
      <c r="Y222" s="5"/>
      <c r="Z222" s="5"/>
      <c r="AA222" s="5"/>
      <c r="AB222" s="5"/>
      <c r="AC222" s="5"/>
      <c r="AD222" s="5"/>
      <c r="AE222" s="5"/>
      <c r="AF222" s="5"/>
      <c r="AG222" s="5"/>
      <c r="AH222" s="5"/>
      <c r="AI222" s="5"/>
      <c r="AJ222" s="5"/>
      <c r="AK222" s="5"/>
      <c r="AL222" s="5"/>
      <c r="AM222" s="5"/>
    </row>
    <row r="223">
      <c r="B223" s="15"/>
      <c r="C223" s="53"/>
      <c r="D223" s="53"/>
      <c r="E223" s="15"/>
      <c r="F223" s="15"/>
      <c r="G223" s="15"/>
      <c r="H223" s="15"/>
      <c r="I223" s="15"/>
      <c r="J223" s="15"/>
      <c r="K223" s="15"/>
      <c r="L223" s="15"/>
      <c r="M223" s="15"/>
      <c r="N223" s="15"/>
      <c r="U223" s="5"/>
      <c r="V223" s="5"/>
      <c r="W223" s="5"/>
      <c r="X223" s="5"/>
      <c r="Y223" s="5"/>
      <c r="Z223" s="5"/>
      <c r="AA223" s="5"/>
      <c r="AB223" s="5"/>
      <c r="AC223" s="5"/>
      <c r="AD223" s="5"/>
      <c r="AE223" s="5"/>
      <c r="AF223" s="5"/>
      <c r="AG223" s="5"/>
      <c r="AH223" s="5"/>
      <c r="AI223" s="5"/>
      <c r="AJ223" s="5"/>
      <c r="AK223" s="5"/>
      <c r="AL223" s="5"/>
      <c r="AM223" s="5"/>
    </row>
    <row r="224">
      <c r="B224" s="15"/>
      <c r="C224" s="53"/>
      <c r="D224" s="53"/>
      <c r="E224" s="15"/>
      <c r="F224" s="15"/>
      <c r="G224" s="15"/>
      <c r="H224" s="15"/>
      <c r="I224" s="15"/>
      <c r="J224" s="15"/>
      <c r="K224" s="15"/>
      <c r="L224" s="15"/>
      <c r="M224" s="15"/>
      <c r="N224" s="15"/>
      <c r="U224" s="5"/>
      <c r="V224" s="5"/>
      <c r="W224" s="5"/>
      <c r="X224" s="5"/>
      <c r="Y224" s="5"/>
      <c r="Z224" s="5"/>
      <c r="AA224" s="5"/>
      <c r="AB224" s="5"/>
      <c r="AC224" s="5"/>
      <c r="AD224" s="5"/>
      <c r="AE224" s="5"/>
      <c r="AF224" s="5"/>
      <c r="AG224" s="5"/>
      <c r="AH224" s="5"/>
      <c r="AI224" s="5"/>
      <c r="AJ224" s="5"/>
      <c r="AK224" s="5"/>
      <c r="AL224" s="5"/>
      <c r="AM224" s="5"/>
    </row>
    <row r="225">
      <c r="B225" s="15"/>
      <c r="C225" s="53"/>
      <c r="D225" s="53"/>
      <c r="E225" s="15"/>
      <c r="F225" s="15"/>
      <c r="G225" s="15"/>
      <c r="H225" s="15"/>
      <c r="I225" s="15"/>
      <c r="J225" s="15"/>
      <c r="K225" s="15"/>
      <c r="L225" s="15"/>
      <c r="M225" s="15"/>
      <c r="N225" s="15"/>
      <c r="U225" s="5"/>
      <c r="V225" s="5"/>
      <c r="W225" s="5"/>
      <c r="X225" s="5"/>
      <c r="Y225" s="5"/>
      <c r="Z225" s="5"/>
      <c r="AA225" s="5"/>
      <c r="AB225" s="5"/>
      <c r="AC225" s="5"/>
      <c r="AD225" s="5"/>
      <c r="AE225" s="5"/>
      <c r="AF225" s="5"/>
      <c r="AG225" s="5"/>
      <c r="AH225" s="5"/>
      <c r="AI225" s="5"/>
      <c r="AJ225" s="5"/>
      <c r="AK225" s="5"/>
      <c r="AL225" s="5"/>
      <c r="AM225" s="5"/>
    </row>
    <row r="226">
      <c r="B226" s="15"/>
      <c r="C226" s="53"/>
      <c r="D226" s="53"/>
      <c r="E226" s="15"/>
      <c r="F226" s="15"/>
      <c r="G226" s="15"/>
      <c r="H226" s="15"/>
      <c r="I226" s="15"/>
      <c r="J226" s="15"/>
      <c r="K226" s="15"/>
      <c r="L226" s="15"/>
      <c r="M226" s="15"/>
      <c r="N226" s="15"/>
      <c r="U226" s="5"/>
      <c r="V226" s="5"/>
      <c r="W226" s="5"/>
      <c r="X226" s="5"/>
      <c r="Y226" s="5"/>
      <c r="Z226" s="5"/>
      <c r="AA226" s="5"/>
      <c r="AB226" s="5"/>
      <c r="AC226" s="5"/>
      <c r="AD226" s="5"/>
      <c r="AE226" s="5"/>
      <c r="AF226" s="5"/>
      <c r="AG226" s="5"/>
      <c r="AH226" s="5"/>
      <c r="AI226" s="5"/>
      <c r="AJ226" s="5"/>
      <c r="AK226" s="5"/>
      <c r="AL226" s="5"/>
      <c r="AM226" s="5"/>
    </row>
    <row r="227">
      <c r="B227" s="15"/>
      <c r="C227" s="53"/>
      <c r="D227" s="53"/>
      <c r="E227" s="15"/>
      <c r="F227" s="15"/>
      <c r="G227" s="15"/>
      <c r="H227" s="15"/>
      <c r="I227" s="15"/>
      <c r="J227" s="15"/>
      <c r="K227" s="15"/>
      <c r="L227" s="15"/>
      <c r="M227" s="15"/>
      <c r="N227" s="15"/>
      <c r="U227" s="5"/>
      <c r="V227" s="5"/>
      <c r="W227" s="5"/>
      <c r="X227" s="5"/>
      <c r="Y227" s="5"/>
      <c r="Z227" s="5"/>
      <c r="AA227" s="5"/>
      <c r="AB227" s="5"/>
      <c r="AC227" s="5"/>
      <c r="AD227" s="5"/>
      <c r="AE227" s="5"/>
      <c r="AF227" s="5"/>
      <c r="AG227" s="5"/>
      <c r="AH227" s="5"/>
      <c r="AI227" s="5"/>
      <c r="AJ227" s="5"/>
      <c r="AK227" s="5"/>
      <c r="AL227" s="5"/>
      <c r="AM227" s="5"/>
    </row>
    <row r="228">
      <c r="B228" s="15"/>
      <c r="C228" s="53"/>
      <c r="D228" s="53"/>
      <c r="E228" s="15"/>
      <c r="F228" s="15"/>
      <c r="G228" s="15"/>
      <c r="H228" s="15"/>
      <c r="I228" s="15"/>
      <c r="J228" s="15"/>
      <c r="K228" s="15"/>
      <c r="L228" s="15"/>
      <c r="M228" s="15"/>
      <c r="N228" s="15"/>
      <c r="U228" s="5"/>
      <c r="V228" s="5"/>
      <c r="W228" s="5"/>
      <c r="X228" s="5"/>
      <c r="Y228" s="5"/>
      <c r="Z228" s="5"/>
      <c r="AA228" s="5"/>
      <c r="AB228" s="5"/>
      <c r="AC228" s="5"/>
      <c r="AD228" s="5"/>
      <c r="AE228" s="5"/>
      <c r="AF228" s="5"/>
      <c r="AG228" s="5"/>
      <c r="AH228" s="5"/>
      <c r="AI228" s="5"/>
      <c r="AJ228" s="5"/>
      <c r="AK228" s="5"/>
      <c r="AL228" s="5"/>
      <c r="AM228" s="5"/>
    </row>
    <row r="229">
      <c r="B229" s="15"/>
      <c r="C229" s="53"/>
      <c r="D229" s="53"/>
      <c r="E229" s="15"/>
      <c r="F229" s="15"/>
      <c r="G229" s="15"/>
      <c r="H229" s="15"/>
      <c r="I229" s="15"/>
      <c r="J229" s="15"/>
      <c r="K229" s="15"/>
      <c r="L229" s="15"/>
      <c r="M229" s="15"/>
      <c r="N229" s="15"/>
      <c r="U229" s="5"/>
      <c r="V229" s="5"/>
      <c r="W229" s="5"/>
      <c r="X229" s="5"/>
      <c r="Y229" s="5"/>
      <c r="Z229" s="5"/>
      <c r="AA229" s="5"/>
      <c r="AB229" s="5"/>
      <c r="AC229" s="5"/>
      <c r="AD229" s="5"/>
      <c r="AE229" s="5"/>
      <c r="AF229" s="5"/>
      <c r="AG229" s="5"/>
      <c r="AH229" s="5"/>
      <c r="AI229" s="5"/>
      <c r="AJ229" s="5"/>
      <c r="AK229" s="5"/>
      <c r="AL229" s="5"/>
      <c r="AM229" s="5"/>
    </row>
    <row r="230">
      <c r="B230" s="15"/>
      <c r="C230" s="53"/>
      <c r="D230" s="53"/>
      <c r="E230" s="15"/>
      <c r="F230" s="15"/>
      <c r="G230" s="15"/>
      <c r="H230" s="15"/>
      <c r="I230" s="15"/>
      <c r="J230" s="15"/>
      <c r="K230" s="15"/>
      <c r="L230" s="15"/>
      <c r="M230" s="15"/>
      <c r="N230" s="15"/>
      <c r="U230" s="5"/>
      <c r="V230" s="5"/>
      <c r="W230" s="5"/>
      <c r="X230" s="5"/>
      <c r="Y230" s="5"/>
      <c r="Z230" s="5"/>
      <c r="AA230" s="5"/>
      <c r="AB230" s="5"/>
      <c r="AC230" s="5"/>
      <c r="AD230" s="5"/>
      <c r="AE230" s="5"/>
      <c r="AF230" s="5"/>
      <c r="AG230" s="5"/>
      <c r="AH230" s="5"/>
      <c r="AI230" s="5"/>
      <c r="AJ230" s="5"/>
      <c r="AK230" s="5"/>
      <c r="AL230" s="5"/>
      <c r="AM230" s="5"/>
    </row>
    <row r="231">
      <c r="B231" s="15"/>
      <c r="C231" s="53"/>
      <c r="D231" s="53"/>
      <c r="E231" s="15"/>
      <c r="F231" s="15"/>
      <c r="G231" s="15"/>
      <c r="H231" s="15"/>
      <c r="I231" s="15"/>
      <c r="J231" s="15"/>
      <c r="K231" s="15"/>
      <c r="L231" s="15"/>
      <c r="M231" s="15"/>
      <c r="N231" s="15"/>
      <c r="U231" s="5"/>
      <c r="V231" s="5"/>
      <c r="W231" s="5"/>
      <c r="X231" s="5"/>
      <c r="Y231" s="5"/>
      <c r="Z231" s="5"/>
      <c r="AA231" s="5"/>
      <c r="AB231" s="5"/>
      <c r="AC231" s="5"/>
      <c r="AD231" s="5"/>
      <c r="AE231" s="5"/>
      <c r="AF231" s="5"/>
      <c r="AG231" s="5"/>
      <c r="AH231" s="5"/>
      <c r="AI231" s="5"/>
      <c r="AJ231" s="5"/>
      <c r="AK231" s="5"/>
      <c r="AL231" s="5"/>
      <c r="AM231" s="5"/>
    </row>
    <row r="232">
      <c r="B232" s="15"/>
      <c r="C232" s="53"/>
      <c r="D232" s="53"/>
      <c r="E232" s="15"/>
      <c r="F232" s="15"/>
      <c r="G232" s="15"/>
      <c r="H232" s="15"/>
      <c r="I232" s="15"/>
      <c r="J232" s="15"/>
      <c r="K232" s="15"/>
      <c r="L232" s="15"/>
      <c r="M232" s="15"/>
      <c r="N232" s="15"/>
      <c r="U232" s="5"/>
      <c r="V232" s="5"/>
      <c r="W232" s="5"/>
      <c r="X232" s="5"/>
      <c r="Y232" s="5"/>
      <c r="Z232" s="5"/>
      <c r="AA232" s="5"/>
      <c r="AB232" s="5"/>
      <c r="AC232" s="5"/>
      <c r="AD232" s="5"/>
      <c r="AE232" s="5"/>
      <c r="AF232" s="5"/>
      <c r="AG232" s="5"/>
      <c r="AH232" s="5"/>
      <c r="AI232" s="5"/>
      <c r="AJ232" s="5"/>
      <c r="AK232" s="5"/>
      <c r="AL232" s="5"/>
      <c r="AM232" s="5"/>
    </row>
    <row r="233">
      <c r="B233" s="15"/>
      <c r="C233" s="53"/>
      <c r="D233" s="53"/>
      <c r="E233" s="15"/>
      <c r="F233" s="15"/>
      <c r="G233" s="15"/>
      <c r="H233" s="15"/>
      <c r="I233" s="15"/>
      <c r="J233" s="15"/>
      <c r="K233" s="15"/>
      <c r="L233" s="15"/>
      <c r="M233" s="15"/>
      <c r="N233" s="15"/>
      <c r="U233" s="5"/>
      <c r="V233" s="5"/>
      <c r="W233" s="5"/>
      <c r="X233" s="5"/>
      <c r="Y233" s="5"/>
      <c r="Z233" s="5"/>
      <c r="AA233" s="5"/>
      <c r="AB233" s="5"/>
      <c r="AC233" s="5"/>
      <c r="AD233" s="5"/>
      <c r="AE233" s="5"/>
      <c r="AF233" s="5"/>
      <c r="AG233" s="5"/>
      <c r="AH233" s="5"/>
      <c r="AI233" s="5"/>
      <c r="AJ233" s="5"/>
      <c r="AK233" s="5"/>
      <c r="AL233" s="5"/>
      <c r="AM233" s="5"/>
    </row>
    <row r="234">
      <c r="B234" s="15"/>
      <c r="C234" s="53"/>
      <c r="D234" s="53"/>
      <c r="E234" s="15"/>
      <c r="F234" s="15"/>
      <c r="G234" s="15"/>
      <c r="H234" s="15"/>
      <c r="I234" s="15"/>
      <c r="J234" s="15"/>
      <c r="K234" s="15"/>
      <c r="L234" s="15"/>
      <c r="M234" s="15"/>
      <c r="N234" s="15"/>
      <c r="U234" s="5"/>
      <c r="V234" s="5"/>
      <c r="W234" s="5"/>
      <c r="X234" s="5"/>
      <c r="Y234" s="5"/>
      <c r="Z234" s="5"/>
      <c r="AA234" s="5"/>
      <c r="AB234" s="5"/>
      <c r="AC234" s="5"/>
      <c r="AD234" s="5"/>
      <c r="AE234" s="5"/>
      <c r="AF234" s="5"/>
      <c r="AG234" s="5"/>
      <c r="AH234" s="5"/>
      <c r="AI234" s="5"/>
      <c r="AJ234" s="5"/>
      <c r="AK234" s="5"/>
      <c r="AL234" s="5"/>
      <c r="AM234" s="5"/>
    </row>
    <row r="235">
      <c r="B235" s="15"/>
      <c r="C235" s="53"/>
      <c r="D235" s="53"/>
      <c r="E235" s="15"/>
      <c r="F235" s="15"/>
      <c r="G235" s="15"/>
      <c r="H235" s="15"/>
      <c r="I235" s="15"/>
      <c r="J235" s="15"/>
      <c r="K235" s="15"/>
      <c r="L235" s="15"/>
      <c r="M235" s="15"/>
      <c r="N235" s="15"/>
      <c r="U235" s="5"/>
      <c r="V235" s="5"/>
      <c r="W235" s="5"/>
      <c r="X235" s="5"/>
      <c r="Y235" s="5"/>
      <c r="Z235" s="5"/>
      <c r="AA235" s="5"/>
      <c r="AB235" s="5"/>
      <c r="AC235" s="5"/>
      <c r="AD235" s="5"/>
      <c r="AE235" s="5"/>
      <c r="AF235" s="5"/>
      <c r="AG235" s="5"/>
      <c r="AH235" s="5"/>
      <c r="AI235" s="5"/>
      <c r="AJ235" s="5"/>
      <c r="AK235" s="5"/>
      <c r="AL235" s="5"/>
      <c r="AM235" s="5"/>
    </row>
    <row r="236">
      <c r="B236" s="15"/>
      <c r="C236" s="53"/>
      <c r="D236" s="53"/>
      <c r="E236" s="15"/>
      <c r="F236" s="15"/>
      <c r="G236" s="15"/>
      <c r="H236" s="15"/>
      <c r="I236" s="15"/>
      <c r="J236" s="15"/>
      <c r="K236" s="15"/>
      <c r="L236" s="15"/>
      <c r="M236" s="15"/>
      <c r="N236" s="15"/>
      <c r="U236" s="5"/>
      <c r="V236" s="5"/>
      <c r="W236" s="5"/>
      <c r="X236" s="5"/>
      <c r="Y236" s="5"/>
      <c r="Z236" s="5"/>
      <c r="AA236" s="5"/>
      <c r="AB236" s="5"/>
      <c r="AC236" s="5"/>
      <c r="AD236" s="5"/>
      <c r="AE236" s="5"/>
      <c r="AF236" s="5"/>
      <c r="AG236" s="5"/>
      <c r="AH236" s="5"/>
      <c r="AI236" s="5"/>
      <c r="AJ236" s="5"/>
      <c r="AK236" s="5"/>
      <c r="AL236" s="5"/>
      <c r="AM236" s="5"/>
    </row>
    <row r="237">
      <c r="B237" s="15"/>
      <c r="C237" s="53"/>
      <c r="D237" s="53"/>
      <c r="E237" s="15"/>
      <c r="F237" s="15"/>
      <c r="G237" s="15"/>
      <c r="H237" s="15"/>
      <c r="I237" s="15"/>
      <c r="J237" s="15"/>
      <c r="K237" s="15"/>
      <c r="L237" s="15"/>
      <c r="M237" s="15"/>
      <c r="N237" s="15"/>
      <c r="U237" s="5"/>
      <c r="V237" s="5"/>
      <c r="W237" s="5"/>
      <c r="X237" s="5"/>
      <c r="Y237" s="5"/>
      <c r="Z237" s="5"/>
      <c r="AA237" s="5"/>
      <c r="AB237" s="5"/>
      <c r="AC237" s="5"/>
      <c r="AD237" s="5"/>
      <c r="AE237" s="5"/>
      <c r="AF237" s="5"/>
      <c r="AG237" s="5"/>
      <c r="AH237" s="5"/>
      <c r="AI237" s="5"/>
      <c r="AJ237" s="5"/>
      <c r="AK237" s="5"/>
      <c r="AL237" s="5"/>
      <c r="AM237" s="5"/>
    </row>
    <row r="238">
      <c r="B238" s="15"/>
      <c r="C238" s="53"/>
      <c r="D238" s="53"/>
      <c r="E238" s="15"/>
      <c r="F238" s="15"/>
      <c r="G238" s="15"/>
      <c r="H238" s="15"/>
      <c r="I238" s="15"/>
      <c r="J238" s="15"/>
      <c r="K238" s="15"/>
      <c r="L238" s="15"/>
      <c r="M238" s="15"/>
      <c r="N238" s="15"/>
      <c r="U238" s="5"/>
      <c r="V238" s="5"/>
      <c r="W238" s="5"/>
      <c r="X238" s="5"/>
      <c r="Y238" s="5"/>
      <c r="Z238" s="5"/>
      <c r="AA238" s="5"/>
      <c r="AB238" s="5"/>
      <c r="AC238" s="5"/>
      <c r="AD238" s="5"/>
      <c r="AE238" s="5"/>
      <c r="AF238" s="5"/>
      <c r="AG238" s="5"/>
      <c r="AH238" s="5"/>
      <c r="AI238" s="5"/>
      <c r="AJ238" s="5"/>
      <c r="AK238" s="5"/>
      <c r="AL238" s="5"/>
      <c r="AM238" s="5"/>
    </row>
    <row r="239">
      <c r="B239" s="15"/>
      <c r="C239" s="53"/>
      <c r="D239" s="53"/>
      <c r="E239" s="15"/>
      <c r="F239" s="15"/>
      <c r="G239" s="15"/>
      <c r="H239" s="15"/>
      <c r="I239" s="15"/>
      <c r="J239" s="15"/>
      <c r="K239" s="15"/>
      <c r="L239" s="15"/>
      <c r="M239" s="15"/>
      <c r="N239" s="15"/>
      <c r="U239" s="5"/>
      <c r="V239" s="5"/>
      <c r="W239" s="5"/>
      <c r="X239" s="5"/>
      <c r="Y239" s="5"/>
      <c r="Z239" s="5"/>
      <c r="AA239" s="5"/>
      <c r="AB239" s="5"/>
      <c r="AC239" s="5"/>
      <c r="AD239" s="5"/>
      <c r="AE239" s="5"/>
      <c r="AF239" s="5"/>
      <c r="AG239" s="5"/>
      <c r="AH239" s="5"/>
      <c r="AI239" s="5"/>
      <c r="AJ239" s="5"/>
      <c r="AK239" s="5"/>
      <c r="AL239" s="5"/>
      <c r="AM239" s="5"/>
    </row>
    <row r="240">
      <c r="B240" s="15"/>
      <c r="C240" s="53"/>
      <c r="D240" s="53"/>
      <c r="E240" s="15"/>
      <c r="F240" s="15"/>
      <c r="G240" s="15"/>
      <c r="H240" s="15"/>
      <c r="I240" s="15"/>
      <c r="J240" s="15"/>
      <c r="K240" s="15"/>
      <c r="L240" s="15"/>
      <c r="M240" s="15"/>
      <c r="N240" s="15"/>
      <c r="U240" s="5"/>
      <c r="V240" s="5"/>
      <c r="W240" s="5"/>
      <c r="X240" s="5"/>
      <c r="Y240" s="5"/>
      <c r="Z240" s="5"/>
      <c r="AA240" s="5"/>
      <c r="AB240" s="5"/>
      <c r="AC240" s="5"/>
      <c r="AD240" s="5"/>
      <c r="AE240" s="5"/>
      <c r="AF240" s="5"/>
      <c r="AG240" s="5"/>
      <c r="AH240" s="5"/>
      <c r="AI240" s="5"/>
      <c r="AJ240" s="5"/>
      <c r="AK240" s="5"/>
      <c r="AL240" s="5"/>
      <c r="AM240" s="5"/>
    </row>
    <row r="241">
      <c r="B241" s="15"/>
      <c r="C241" s="53"/>
      <c r="D241" s="53"/>
      <c r="E241" s="15"/>
      <c r="F241" s="15"/>
      <c r="G241" s="15"/>
      <c r="H241" s="15"/>
      <c r="I241" s="15"/>
      <c r="J241" s="15"/>
      <c r="K241" s="15"/>
      <c r="L241" s="15"/>
      <c r="M241" s="15"/>
      <c r="N241" s="15"/>
      <c r="U241" s="5"/>
      <c r="V241" s="5"/>
      <c r="W241" s="5"/>
      <c r="X241" s="5"/>
      <c r="Y241" s="5"/>
      <c r="Z241" s="5"/>
      <c r="AA241" s="5"/>
      <c r="AB241" s="5"/>
      <c r="AC241" s="5"/>
      <c r="AD241" s="5"/>
      <c r="AE241" s="5"/>
      <c r="AF241" s="5"/>
      <c r="AG241" s="5"/>
      <c r="AH241" s="5"/>
      <c r="AI241" s="5"/>
      <c r="AJ241" s="5"/>
      <c r="AK241" s="5"/>
      <c r="AL241" s="5"/>
      <c r="AM241" s="5"/>
    </row>
    <row r="242">
      <c r="B242" s="15"/>
      <c r="C242" s="53"/>
      <c r="D242" s="53"/>
      <c r="E242" s="15"/>
      <c r="F242" s="15"/>
      <c r="G242" s="15"/>
      <c r="H242" s="15"/>
      <c r="I242" s="15"/>
      <c r="J242" s="15"/>
      <c r="K242" s="15"/>
      <c r="L242" s="15"/>
      <c r="M242" s="15"/>
      <c r="N242" s="15"/>
      <c r="U242" s="5"/>
      <c r="V242" s="5"/>
      <c r="W242" s="5"/>
      <c r="X242" s="5"/>
      <c r="Y242" s="5"/>
      <c r="Z242" s="5"/>
      <c r="AA242" s="5"/>
      <c r="AB242" s="5"/>
      <c r="AC242" s="5"/>
      <c r="AD242" s="5"/>
      <c r="AE242" s="5"/>
      <c r="AF242" s="5"/>
      <c r="AG242" s="5"/>
      <c r="AH242" s="5"/>
      <c r="AI242" s="5"/>
      <c r="AJ242" s="5"/>
      <c r="AK242" s="5"/>
      <c r="AL242" s="5"/>
      <c r="AM242" s="5"/>
    </row>
  </sheetData>
  <mergeCells>
    <mergeCell ref="A1:A3"/>
    <mergeCell ref="C1:E1"/>
    <mergeCell ref="F1:H1"/>
    <mergeCell ref="I1:K1"/>
    <mergeCell ref="L1:N1"/>
    <mergeCell ref="O1:Q1"/>
    <mergeCell ref="R1:T1"/>
    <mergeCell ref="U1:W1"/>
    <mergeCell ref="X1:Z1"/>
    <mergeCell ref="AA1:AC1"/>
    <mergeCell ref="AD1:AF1"/>
    <mergeCell ref="AG1:AI1"/>
    <mergeCell ref="AJ1:AL1"/>
    <mergeCell ref="AM1:AO1"/>
    <mergeCell ref="AP1:AR1"/>
    <mergeCell ref="AS1:AU1"/>
    <mergeCell ref="AV1:AX1"/>
    <mergeCell ref="A15:A17"/>
    <mergeCell ref="C15:E15"/>
    <mergeCell ref="F15:H15"/>
    <mergeCell ref="I15:K15"/>
    <mergeCell ref="L15:N15"/>
    <mergeCell ref="O15:Q15"/>
    <mergeCell ref="R15:T15"/>
    <mergeCell ref="U15:W15"/>
    <mergeCell ref="X15:Z15"/>
    <mergeCell ref="AA15:AC15"/>
    <mergeCell ref="AD15:AF15"/>
    <mergeCell ref="AG15:AI15"/>
    <mergeCell ref="AJ15:AL15"/>
    <mergeCell ref="C32:E32"/>
    <mergeCell ref="F32:H32"/>
    <mergeCell ref="I32:K32"/>
    <mergeCell ref="L32:N32"/>
    <mergeCell ref="O32:Q32"/>
    <mergeCell ref="R32:T32"/>
    <mergeCell ref="U32:W32"/>
    <mergeCell ref="X32:Z32"/>
    <mergeCell ref="AA32:AC32"/>
    <mergeCell ref="AD32:AF32"/>
    <mergeCell ref="AG32:AI32"/>
    <mergeCell ref="A37:X37"/>
    <mergeCell ref="A38:A40"/>
    <mergeCell ref="C38:E38"/>
    <mergeCell ref="F38:H38"/>
    <mergeCell ref="I38:K38"/>
    <mergeCell ref="L38:N38"/>
    <mergeCell ref="O38:Q38"/>
    <mergeCell ref="R38:T38"/>
    <mergeCell ref="U38:W38"/>
    <mergeCell ref="X38:Z38"/>
    <mergeCell ref="C48:E48"/>
    <mergeCell ref="F48:H48"/>
    <mergeCell ref="I48:K48"/>
    <mergeCell ref="L48:M48"/>
    <mergeCell ref="O48:Q48"/>
    <mergeCell ref="R48:T48"/>
    <mergeCell ref="U48:W48"/>
    <mergeCell ref="F56:H56"/>
    <mergeCell ref="I56:K56"/>
    <mergeCell ref="O56:Q56"/>
    <mergeCell ref="R56:T56"/>
    <mergeCell ref="U56:W56"/>
    <mergeCell ref="X56:Z56"/>
    <mergeCell ref="C57:E57"/>
    <mergeCell ref="F57:H57"/>
    <mergeCell ref="I57:K57"/>
    <mergeCell ref="L57:N57"/>
    <mergeCell ref="O57:Q57"/>
    <mergeCell ref="R57:T57"/>
    <mergeCell ref="U57:W57"/>
    <mergeCell ref="X57:Z57"/>
    <mergeCell ref="C65:E65"/>
    <mergeCell ref="F65:H65"/>
    <mergeCell ref="I65:K65"/>
    <mergeCell ref="L65:N65"/>
    <mergeCell ref="O65:Q65"/>
    <mergeCell ref="R65:T65"/>
    <mergeCell ref="U65:W65"/>
    <mergeCell ref="X65:Z65"/>
    <mergeCell ref="A73:A75"/>
    <mergeCell ref="C73:E73"/>
    <mergeCell ref="F73:H73"/>
    <mergeCell ref="I73:K73"/>
    <mergeCell ref="L73:N73"/>
    <mergeCell ref="O73:Q73"/>
    <mergeCell ref="R73:T73"/>
    <mergeCell ref="U73:W73"/>
    <mergeCell ref="X73:Z73"/>
    <mergeCell ref="AA73:AC73"/>
    <mergeCell ref="AD73:AF73"/>
    <mergeCell ref="AG73:AI73"/>
    <mergeCell ref="AJ73:AL73"/>
    <mergeCell ref="C83:E83"/>
    <mergeCell ref="F83:H83"/>
    <mergeCell ref="I83:K83"/>
    <mergeCell ref="L83:N83"/>
    <mergeCell ref="O83:Q83"/>
    <mergeCell ref="R83:T83"/>
    <mergeCell ref="U83:W83"/>
    <mergeCell ref="X83:Z83"/>
    <mergeCell ref="AA83:AC83"/>
    <mergeCell ref="AA84:AC84"/>
    <mergeCell ref="A86:A88"/>
    <mergeCell ref="C86:E86"/>
    <mergeCell ref="F86:H86"/>
    <mergeCell ref="I86:K86"/>
    <mergeCell ref="L86:N86"/>
    <mergeCell ref="O86:Q86"/>
    <mergeCell ref="R86:T86"/>
    <mergeCell ref="U86:W86"/>
    <mergeCell ref="X86:Z86"/>
    <mergeCell ref="AA86:AC86"/>
    <mergeCell ref="AD86:AF86"/>
    <mergeCell ref="AG86:AI86"/>
    <mergeCell ref="AJ86:AL86"/>
    <mergeCell ref="AM86:AO86"/>
    <mergeCell ref="AP86:AR86"/>
    <mergeCell ref="AV86:AX86"/>
    <mergeCell ref="C96:E96"/>
    <mergeCell ref="F96:H96"/>
    <mergeCell ref="I96:K96"/>
    <mergeCell ref="L96:N96"/>
    <mergeCell ref="O96:Q96"/>
    <mergeCell ref="R96:T96"/>
    <mergeCell ref="U96:W96"/>
    <mergeCell ref="X96:Z96"/>
    <mergeCell ref="AA96:AC96"/>
    <mergeCell ref="AD96:AF96"/>
    <mergeCell ref="AG96:AI96"/>
    <mergeCell ref="AJ96:AL96"/>
    <mergeCell ref="AM96:AO96"/>
    <mergeCell ref="AP96:AR96"/>
    <mergeCell ref="A101:A103"/>
    <mergeCell ref="C101:E101"/>
    <mergeCell ref="F101:H101"/>
    <mergeCell ref="I101:K101"/>
    <mergeCell ref="L101:N101"/>
    <mergeCell ref="O101:Q101"/>
    <mergeCell ref="R101:T101"/>
    <mergeCell ref="U101:W101"/>
    <mergeCell ref="X101:Z101"/>
    <mergeCell ref="AA101:AC101"/>
    <mergeCell ref="AD101:AF101"/>
    <mergeCell ref="AG101:AI101"/>
    <mergeCell ref="AJ101:AL101"/>
    <mergeCell ref="AM101:AO101"/>
    <mergeCell ref="AP101:AR101"/>
    <mergeCell ref="AS101:AU101"/>
    <mergeCell ref="AV101:AX101"/>
    <mergeCell ref="A114:A116"/>
    <mergeCell ref="C114:E114"/>
    <mergeCell ref="F114:H114"/>
    <mergeCell ref="I114:K114"/>
    <mergeCell ref="L114:N114"/>
    <mergeCell ref="O114:Q114"/>
    <mergeCell ref="R114:T114"/>
    <mergeCell ref="U114:W114"/>
    <mergeCell ref="X114:Z114"/>
    <mergeCell ref="AA114:AC114"/>
    <mergeCell ref="AD114:AF114"/>
    <mergeCell ref="AG114:AI114"/>
    <mergeCell ref="AJ114:AL114"/>
    <mergeCell ref="AM114:AO114"/>
    <mergeCell ref="AP114:AR114"/>
    <mergeCell ref="AS114:AU114"/>
    <mergeCell ref="AV114:AX114"/>
  </mergeCells>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6.0" baseColWidth="10"/>
  <cols>
    <col min="1" max="1" width="13.166666666666666" customWidth="true"/>
    <col min="2" max="2" width="10.833333333333334" customWidth="true"/>
    <col min="3" max="3" width="10.833333333333334" customWidth="true"/>
    <col min="4" max="4" width="10.833333333333334" customWidth="true"/>
    <col min="5" max="5" width="10.833333333333334" customWidth="true"/>
    <col min="6" max="6" width="10.833333333333334" customWidth="true"/>
    <col min="7" max="7" width="10.833333333333334" customWidth="true"/>
    <col min="8" max="8" width="10.833333333333334" customWidth="true"/>
    <col min="9" max="9" width="10.833333333333334" customWidth="true"/>
    <col min="10" max="10" width="10.833333333333334"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 min="25" max="25" width="10.833333333333334" customWidth="true"/>
    <col min="26" max="26" width="10.833333333333334" customWidth="true"/>
    <col min="27" max="27" width="10.833333333333334" customWidth="true"/>
    <col min="28" max="28" width="10.833333333333334" customWidth="true"/>
    <col min="29" max="29" width="10.833333333333334" customWidth="true"/>
    <col min="30" max="30" width="10.833333333333334" customWidth="true"/>
  </cols>
  <sheetData>
    <row r="1">
      <c r="A1" s="40" t="s">
        <v>0</v>
      </c>
      <c r="B1" s="5" t="s">
        <v>102</v>
      </c>
      <c r="C1" s="40" t="s">
        <v>2</v>
      </c>
      <c r="D1" s="40"/>
      <c r="E1" s="40"/>
      <c r="F1" s="40"/>
      <c r="G1" s="40"/>
      <c r="H1" s="40"/>
      <c r="I1" s="40"/>
      <c r="J1" s="40"/>
      <c r="K1" s="39" t="s">
        <v>4</v>
      </c>
      <c r="L1" s="39"/>
      <c r="M1" s="39"/>
      <c r="N1" s="39"/>
      <c r="O1" s="40" t="s">
        <v>103</v>
      </c>
      <c r="P1" s="40"/>
      <c r="Q1" s="40"/>
      <c r="R1" s="40"/>
      <c r="S1" s="43" t="s">
        <v>355</v>
      </c>
      <c r="T1" s="43"/>
      <c r="U1" s="43"/>
      <c r="V1" s="43"/>
      <c r="W1" s="40"/>
      <c r="X1" s="40"/>
      <c r="Y1" s="40"/>
      <c r="Z1" s="40"/>
      <c r="AA1" s="40"/>
      <c r="AB1" s="40"/>
      <c r="AC1" s="40"/>
      <c r="AD1" s="40"/>
    </row>
    <row r="2">
      <c r="A2" s="40"/>
      <c r="B2" s="5" t="s">
        <v>634</v>
      </c>
      <c r="C2" s="40" t="s">
        <v>635</v>
      </c>
      <c r="D2" s="40"/>
      <c r="E2" s="40"/>
      <c r="F2" s="40"/>
      <c r="G2" s="40"/>
      <c r="H2" s="40"/>
      <c r="I2" s="40"/>
      <c r="J2" s="40"/>
      <c r="K2" s="40" t="s">
        <v>636</v>
      </c>
      <c r="L2" s="40"/>
      <c r="M2" s="40"/>
      <c r="N2" s="40"/>
      <c r="O2" s="40"/>
      <c r="P2" s="40"/>
      <c r="Q2" s="40"/>
      <c r="R2" s="40"/>
      <c r="S2" s="40" t="s">
        <v>637</v>
      </c>
      <c r="T2" s="40"/>
      <c r="U2" s="40"/>
      <c r="V2" s="40"/>
      <c r="W2" s="5"/>
      <c r="X2" s="5"/>
      <c r="Y2" s="5"/>
      <c r="Z2" s="5"/>
      <c r="AA2" s="5"/>
      <c r="AB2" s="5"/>
      <c r="AC2" s="5"/>
      <c r="AD2" s="5"/>
    </row>
    <row r="3">
      <c r="A3" s="40"/>
      <c r="B3" s="5" t="s">
        <v>406</v>
      </c>
      <c r="C3" s="5" t="s">
        <v>638</v>
      </c>
      <c r="D3" s="5" t="s">
        <v>639</v>
      </c>
      <c r="E3" s="5" t="s">
        <v>640</v>
      </c>
      <c r="F3" s="5" t="s">
        <v>641</v>
      </c>
      <c r="G3" s="5" t="s">
        <v>638</v>
      </c>
      <c r="H3" s="5" t="s">
        <v>639</v>
      </c>
      <c r="I3" s="5" t="s">
        <v>640</v>
      </c>
      <c r="J3" s="5" t="s">
        <v>641</v>
      </c>
      <c r="K3" s="5" t="s">
        <v>638</v>
      </c>
      <c r="L3" s="5" t="s">
        <v>639</v>
      </c>
      <c r="M3" s="5" t="s">
        <v>640</v>
      </c>
      <c r="N3" s="5" t="s">
        <v>641</v>
      </c>
      <c r="O3" s="5" t="s">
        <v>638</v>
      </c>
      <c r="P3" s="5" t="s">
        <v>639</v>
      </c>
      <c r="Q3" s="5" t="s">
        <v>640</v>
      </c>
      <c r="R3" s="5" t="s">
        <v>641</v>
      </c>
      <c r="S3" s="5" t="s">
        <v>642</v>
      </c>
      <c r="T3" s="5" t="s">
        <v>639</v>
      </c>
      <c r="U3" s="5" t="s">
        <v>640</v>
      </c>
      <c r="V3" s="5" t="s">
        <v>641</v>
      </c>
      <c r="W3" s="5" t="s">
        <v>642</v>
      </c>
      <c r="X3" s="5" t="s">
        <v>639</v>
      </c>
      <c r="Y3" s="5" t="s">
        <v>640</v>
      </c>
      <c r="Z3" s="5" t="s">
        <v>641</v>
      </c>
      <c r="AA3" s="5" t="s">
        <v>642</v>
      </c>
      <c r="AB3" s="5"/>
      <c r="AC3" s="5"/>
      <c r="AD3" s="5"/>
    </row>
    <row r="4" customHeight="1" ht="52.0">
      <c r="A4" s="3" t="n">
        <v>44067.0</v>
      </c>
      <c r="B4" s="1" t="s">
        <v>5</v>
      </c>
      <c r="C4" s="1"/>
      <c r="D4" s="1"/>
      <c r="E4" s="1"/>
      <c r="F4" s="1"/>
      <c r="G4" s="1"/>
      <c r="H4" s="1"/>
      <c r="I4" s="1"/>
      <c r="J4" s="1"/>
      <c r="K4" s="1" t="s">
        <v>643</v>
      </c>
      <c r="L4" s="1" t="s">
        <v>644</v>
      </c>
      <c r="M4" s="1" t="s">
        <v>645</v>
      </c>
      <c r="N4" s="1" t="s">
        <v>646</v>
      </c>
      <c r="O4" s="1"/>
      <c r="P4" s="1"/>
      <c r="Q4" s="1"/>
      <c r="R4" s="1"/>
      <c r="S4" s="5" t="s">
        <v>647</v>
      </c>
      <c r="T4" s="5" t="s">
        <v>648</v>
      </c>
      <c r="U4" s="1" t="s">
        <v>649</v>
      </c>
      <c r="V4" s="1" t="s">
        <v>650</v>
      </c>
      <c r="W4" s="2"/>
      <c r="X4" s="2"/>
      <c r="Y4" s="2"/>
      <c r="Z4" s="2"/>
      <c r="AA4" s="1"/>
      <c r="AB4" s="1"/>
      <c r="AC4" s="1"/>
      <c r="AD4" s="1"/>
    </row>
    <row r="5">
      <c r="A5" s="3" t="n">
        <v>44068.0</v>
      </c>
      <c r="B5" s="1" t="s">
        <v>7</v>
      </c>
      <c r="C5" s="1"/>
      <c r="D5" s="1"/>
      <c r="E5" s="1"/>
      <c r="F5" s="1"/>
      <c r="G5" s="1"/>
      <c r="H5" s="1"/>
      <c r="I5" s="1"/>
      <c r="J5" s="1"/>
      <c r="K5" s="1" t="s">
        <v>651</v>
      </c>
      <c r="L5" s="1" t="s">
        <v>652</v>
      </c>
      <c r="M5" s="1" t="s">
        <v>653</v>
      </c>
      <c r="N5" s="1" t="s">
        <v>646</v>
      </c>
      <c r="O5" s="1"/>
      <c r="P5" s="1"/>
      <c r="Q5" s="1"/>
      <c r="R5" s="1"/>
      <c r="S5" s="1" t="s">
        <v>654</v>
      </c>
      <c r="T5" s="1" t="s">
        <v>655</v>
      </c>
      <c r="U5" s="1" t="s">
        <v>656</v>
      </c>
      <c r="V5" s="1" t="s">
        <v>657</v>
      </c>
      <c r="W5" s="2"/>
      <c r="X5" s="2"/>
      <c r="Y5" s="2"/>
      <c r="Z5" s="2"/>
      <c r="AA5" s="1"/>
      <c r="AB5" s="1"/>
      <c r="AC5" s="1"/>
      <c r="AD5" s="1"/>
    </row>
    <row r="6" customHeight="1" ht="52.0">
      <c r="A6" s="3" t="n">
        <v>44069.0</v>
      </c>
      <c r="B6" s="1" t="s">
        <v>9</v>
      </c>
      <c r="C6" s="1"/>
      <c r="D6" s="1"/>
      <c r="E6" s="1"/>
      <c r="F6" s="1"/>
      <c r="G6" s="1"/>
      <c r="H6" s="2"/>
      <c r="I6" s="1"/>
      <c r="J6" s="1"/>
      <c r="K6" s="1" t="s">
        <v>658</v>
      </c>
      <c r="L6" s="1" t="s">
        <v>659</v>
      </c>
      <c r="M6" s="1" t="s">
        <v>645</v>
      </c>
      <c r="N6" s="1" t="s">
        <v>660</v>
      </c>
      <c r="O6" s="1"/>
      <c r="P6" s="1"/>
      <c r="Q6" s="1"/>
      <c r="R6" s="1"/>
      <c r="S6" s="5" t="s">
        <v>661</v>
      </c>
      <c r="T6" s="1" t="s">
        <v>662</v>
      </c>
      <c r="U6" s="1" t="s">
        <v>663</v>
      </c>
      <c r="V6" s="1" t="s">
        <v>657</v>
      </c>
      <c r="W6" s="2"/>
      <c r="X6" s="2"/>
      <c r="Y6" s="2"/>
      <c r="Z6" s="2"/>
      <c r="AA6" s="1"/>
      <c r="AB6" s="1"/>
      <c r="AC6" s="1"/>
      <c r="AD6" s="1"/>
    </row>
    <row r="7">
      <c r="A7" s="3" t="n">
        <v>44070.0</v>
      </c>
      <c r="B7" s="1" t="s">
        <v>12</v>
      </c>
      <c r="C7" s="1"/>
      <c r="D7" s="1"/>
      <c r="E7" s="1"/>
      <c r="F7" s="1"/>
      <c r="G7" s="2"/>
      <c r="H7" s="1"/>
      <c r="I7" s="1"/>
      <c r="J7" s="1"/>
      <c r="K7" s="1" t="s">
        <v>664</v>
      </c>
      <c r="L7" s="1" t="s">
        <v>665</v>
      </c>
      <c r="M7" s="1" t="s">
        <v>666</v>
      </c>
      <c r="N7" s="1"/>
      <c r="O7" s="1"/>
      <c r="P7" s="1"/>
      <c r="Q7" s="1"/>
      <c r="R7" s="1"/>
      <c r="S7" s="1" t="s">
        <v>667</v>
      </c>
      <c r="T7" s="1" t="s">
        <v>663</v>
      </c>
      <c r="U7" s="1" t="s">
        <v>663</v>
      </c>
      <c r="V7" s="1"/>
      <c r="W7" s="2"/>
      <c r="X7" s="1"/>
      <c r="Y7" s="2"/>
      <c r="Z7" s="2"/>
      <c r="AA7" s="1"/>
      <c r="AB7" s="1"/>
      <c r="AC7" s="1"/>
      <c r="AD7" s="1"/>
    </row>
    <row r="8">
      <c r="A8" s="3" t="n">
        <v>44071.0</v>
      </c>
      <c r="B8" s="1" t="s">
        <v>15</v>
      </c>
      <c r="C8" s="1"/>
      <c r="D8" s="1"/>
      <c r="E8" s="1"/>
      <c r="F8" s="1"/>
      <c r="G8" s="1"/>
      <c r="H8" s="1"/>
      <c r="I8" s="1"/>
      <c r="J8" s="1"/>
      <c r="K8" s="2" t="s">
        <v>668</v>
      </c>
      <c r="L8" s="1" t="s">
        <v>669</v>
      </c>
      <c r="M8" s="1" t="s">
        <v>670</v>
      </c>
      <c r="N8" s="1" t="s">
        <v>671</v>
      </c>
      <c r="O8" s="1"/>
      <c r="P8" s="1"/>
      <c r="Q8" s="1"/>
      <c r="R8" s="1"/>
      <c r="S8" s="1" t="s">
        <v>672</v>
      </c>
      <c r="T8" s="1" t="s">
        <v>673</v>
      </c>
      <c r="U8" s="1" t="s">
        <v>674</v>
      </c>
      <c r="V8" s="1" t="s">
        <v>675</v>
      </c>
      <c r="W8" s="2"/>
      <c r="X8" s="1"/>
      <c r="Y8" s="2"/>
      <c r="Z8" s="2"/>
      <c r="AA8" s="1"/>
      <c r="AB8" s="1"/>
      <c r="AC8" s="1"/>
      <c r="AD8" s="1"/>
    </row>
    <row r="9" customHeight="1" ht="26.0">
      <c r="A9" s="3" t="n">
        <v>44072.0</v>
      </c>
      <c r="B9" s="1" t="s">
        <v>16</v>
      </c>
      <c r="C9" s="1"/>
      <c r="D9" s="1"/>
      <c r="E9" s="1"/>
      <c r="F9" s="1"/>
      <c r="G9" s="1"/>
      <c r="H9" s="1"/>
      <c r="I9" s="1"/>
      <c r="J9" s="1"/>
      <c r="K9" s="1" t="s">
        <v>676</v>
      </c>
      <c r="L9" s="1" t="s">
        <v>677</v>
      </c>
      <c r="M9" s="1" t="s">
        <v>645</v>
      </c>
      <c r="N9" s="1"/>
      <c r="O9" s="1"/>
      <c r="P9" s="1"/>
      <c r="Q9" s="1"/>
      <c r="R9" s="1"/>
      <c r="S9" s="1" t="s">
        <v>678</v>
      </c>
      <c r="T9" s="5" t="s">
        <v>679</v>
      </c>
      <c r="U9" s="1" t="s">
        <v>680</v>
      </c>
      <c r="V9" s="1" t="s">
        <v>657</v>
      </c>
      <c r="W9" s="2"/>
      <c r="X9" s="2"/>
      <c r="Y9" s="2"/>
      <c r="Z9" s="2"/>
      <c r="AA9" s="1"/>
      <c r="AB9" s="1"/>
      <c r="AC9" s="1"/>
      <c r="AD9" s="1"/>
    </row>
    <row r="10" customHeight="1" ht="26.0">
      <c r="A10" s="3" t="n">
        <v>44073.0</v>
      </c>
      <c r="B10" s="1" t="s">
        <v>19</v>
      </c>
      <c r="C10" s="2"/>
      <c r="D10" s="2"/>
      <c r="E10" s="2"/>
      <c r="F10" s="2"/>
      <c r="G10" s="1"/>
      <c r="H10" s="1"/>
      <c r="I10" s="1"/>
      <c r="J10" s="1"/>
      <c r="K10" s="1" t="s">
        <v>681</v>
      </c>
      <c r="L10" s="1" t="s">
        <v>682</v>
      </c>
      <c r="M10" s="1" t="s">
        <v>683</v>
      </c>
      <c r="N10" s="1"/>
      <c r="O10" s="1"/>
      <c r="P10" s="1"/>
      <c r="Q10" s="1"/>
      <c r="R10" s="1"/>
      <c r="S10" s="1" t="s">
        <v>678</v>
      </c>
      <c r="T10" s="5" t="s">
        <v>684</v>
      </c>
      <c r="U10" s="1" t="s">
        <v>685</v>
      </c>
      <c r="V10" s="1"/>
      <c r="W10" s="2"/>
      <c r="X10" s="2"/>
      <c r="Y10" s="2"/>
      <c r="Z10" s="2"/>
      <c r="AA10" s="1"/>
      <c r="AB10" s="1"/>
      <c r="AC10" s="1"/>
      <c r="AD10" s="1"/>
    </row>
    <row r="11">
      <c r="A11" s="224"/>
      <c r="B11" s="5"/>
      <c r="C11" s="2"/>
      <c r="D11" s="2"/>
      <c r="E11" s="2"/>
      <c r="F11" s="2"/>
      <c r="G11" s="40"/>
      <c r="H11" s="40"/>
      <c r="I11" s="40"/>
      <c r="J11" s="40"/>
      <c r="K11" s="1"/>
      <c r="L11" s="1"/>
      <c r="M11" s="2"/>
      <c r="N11" s="1"/>
      <c r="O11" s="40"/>
      <c r="P11" s="40"/>
      <c r="Q11" s="40"/>
      <c r="R11" s="40"/>
      <c r="S11" s="40"/>
      <c r="T11" s="40"/>
      <c r="U11" s="40"/>
      <c r="V11" s="40"/>
      <c r="W11" s="15"/>
      <c r="X11" s="15"/>
      <c r="Y11" s="15"/>
      <c r="Z11" s="15"/>
      <c r="AA11" s="5"/>
      <c r="AB11" s="5"/>
      <c r="AC11" s="5"/>
      <c r="AD11" s="5"/>
    </row>
    <row r="12">
      <c r="A12" s="224"/>
      <c r="B12" s="5"/>
      <c r="C12" s="2"/>
      <c r="D12" s="2"/>
      <c r="E12" s="2"/>
      <c r="F12" s="2"/>
      <c r="G12" s="1"/>
      <c r="H12" s="40"/>
      <c r="I12" s="40"/>
      <c r="J12" s="40"/>
      <c r="K12" s="40"/>
      <c r="L12" s="40"/>
      <c r="M12" s="40"/>
      <c r="N12" s="40"/>
      <c r="O12" s="40"/>
      <c r="P12" s="40"/>
      <c r="Q12" s="40"/>
      <c r="R12" s="40"/>
      <c r="S12" s="40"/>
      <c r="T12" s="40"/>
      <c r="U12" s="40"/>
      <c r="V12" s="40"/>
      <c r="W12" s="15"/>
      <c r="X12" s="15"/>
      <c r="Y12" s="15"/>
      <c r="Z12" s="15"/>
      <c r="AA12" s="5"/>
      <c r="AB12" s="5"/>
      <c r="AC12" s="5"/>
      <c r="AD12" s="5"/>
    </row>
    <row r="13">
      <c r="A13" s="224"/>
      <c r="B13" s="5"/>
      <c r="C13" s="40"/>
      <c r="D13" s="40"/>
      <c r="E13" s="40"/>
      <c r="F13" s="40"/>
      <c r="G13" s="5"/>
      <c r="H13" s="40"/>
      <c r="I13" s="40"/>
      <c r="J13" s="40"/>
      <c r="K13" s="40"/>
      <c r="L13" s="40"/>
      <c r="M13" s="40"/>
      <c r="N13" s="40"/>
      <c r="O13" s="40"/>
      <c r="P13" s="40"/>
      <c r="Q13" s="40"/>
      <c r="R13" s="40"/>
      <c r="S13" s="40"/>
      <c r="T13" s="40"/>
      <c r="U13" s="40"/>
      <c r="V13" s="40"/>
      <c r="W13" s="15"/>
      <c r="X13" s="15"/>
      <c r="Y13" s="15"/>
      <c r="Z13" s="15"/>
      <c r="AA13" s="5"/>
      <c r="AB13" s="5"/>
      <c r="AC13" s="5"/>
      <c r="AD13" s="5"/>
    </row>
    <row r="14">
      <c r="A14" s="225" t="s">
        <v>21</v>
      </c>
      <c r="B14" s="32" t="s">
        <v>686</v>
      </c>
      <c r="C14" s="40"/>
      <c r="D14" s="40"/>
      <c r="E14" s="2"/>
      <c r="F14" s="40"/>
      <c r="G14" s="40"/>
      <c r="H14" s="40"/>
      <c r="I14" s="40"/>
      <c r="J14" s="40"/>
      <c r="K14" s="40"/>
      <c r="L14" s="40"/>
      <c r="M14" s="40"/>
      <c r="N14" s="40"/>
      <c r="O14" s="40"/>
      <c r="P14" s="40"/>
      <c r="Q14" s="40"/>
      <c r="R14" s="40"/>
      <c r="S14" s="40"/>
      <c r="T14" s="40"/>
      <c r="U14" s="40"/>
      <c r="V14" s="40"/>
      <c r="W14" s="15"/>
      <c r="X14" s="15"/>
      <c r="Y14" s="15"/>
      <c r="Z14" s="15"/>
      <c r="AA14" s="5"/>
      <c r="AB14" s="5"/>
      <c r="AC14" s="5"/>
      <c r="AD14" s="5"/>
    </row>
    <row r="15" customHeight="1" ht="26.0">
      <c r="A15" s="226" t="s">
        <v>687</v>
      </c>
      <c r="B15" s="173" t="s">
        <v>688</v>
      </c>
      <c r="C15" s="15"/>
      <c r="D15" s="15"/>
      <c r="E15" s="40"/>
      <c r="F15" s="15"/>
      <c r="G15" s="2"/>
      <c r="H15" s="15"/>
      <c r="I15" s="15"/>
      <c r="J15" s="15"/>
      <c r="K15" s="15"/>
      <c r="L15" s="15"/>
      <c r="M15" s="15"/>
      <c r="N15" s="15"/>
      <c r="O15" s="15"/>
      <c r="P15" s="15"/>
      <c r="Q15" s="15"/>
      <c r="R15" s="15"/>
      <c r="S15" s="15"/>
      <c r="T15" s="15"/>
      <c r="U15" s="15"/>
      <c r="V15" s="15"/>
      <c r="W15" s="15"/>
      <c r="X15" s="15"/>
      <c r="Y15" s="15"/>
      <c r="Z15" s="15"/>
      <c r="AA15" s="5"/>
      <c r="AB15" s="5"/>
      <c r="AC15" s="5"/>
      <c r="AD15" s="5"/>
    </row>
    <row r="16">
      <c r="A16" s="227" t="s">
        <v>689</v>
      </c>
      <c r="B16" s="173" t="s">
        <v>690</v>
      </c>
      <c r="C16" s="15"/>
      <c r="D16" s="15"/>
      <c r="E16" s="15"/>
      <c r="F16" s="15"/>
      <c r="G16" s="15"/>
      <c r="H16" s="15"/>
      <c r="I16" s="15"/>
      <c r="J16" s="15"/>
      <c r="K16" s="15"/>
      <c r="L16" s="15"/>
      <c r="M16" s="15"/>
      <c r="N16" s="15"/>
      <c r="O16" s="15"/>
      <c r="P16" s="15"/>
      <c r="Q16" s="15"/>
      <c r="R16" s="15"/>
      <c r="S16" s="15"/>
      <c r="T16" s="15"/>
      <c r="U16" s="15"/>
      <c r="V16" s="15"/>
      <c r="W16" s="15"/>
      <c r="X16" s="15"/>
      <c r="Y16" s="15"/>
      <c r="Z16" s="15"/>
      <c r="AA16" s="5"/>
      <c r="AB16" s="5"/>
      <c r="AC16" s="5"/>
      <c r="AD16" s="5"/>
    </row>
    <row r="17">
      <c r="A17" s="227"/>
      <c r="B17" s="228"/>
      <c r="C17" s="15"/>
      <c r="D17" s="15"/>
      <c r="E17" s="15"/>
      <c r="F17" s="15"/>
      <c r="G17" s="15"/>
      <c r="H17" s="15"/>
      <c r="I17" s="15"/>
      <c r="J17" s="15"/>
      <c r="K17" s="15"/>
      <c r="L17" s="15"/>
      <c r="M17" s="15"/>
      <c r="N17" s="40"/>
      <c r="O17" s="15"/>
      <c r="P17" s="15"/>
      <c r="Q17" s="15"/>
      <c r="R17" s="15"/>
      <c r="S17" s="15"/>
      <c r="T17" s="15"/>
      <c r="U17" s="15"/>
      <c r="V17" s="15"/>
      <c r="W17" s="15"/>
      <c r="X17" s="15"/>
      <c r="Y17" s="15"/>
      <c r="Z17" s="15"/>
      <c r="AA17" s="5"/>
      <c r="AB17" s="5"/>
      <c r="AC17" s="5"/>
      <c r="AD17" s="5"/>
    </row>
    <row r="18">
      <c r="A18" s="229"/>
      <c r="B18" s="173"/>
      <c r="C18" s="5"/>
      <c r="D18" s="5"/>
      <c r="E18" s="5"/>
      <c r="F18" s="2"/>
      <c r="G18" s="5"/>
      <c r="H18" s="5"/>
      <c r="I18" s="5"/>
      <c r="J18" s="5"/>
      <c r="K18" s="5"/>
      <c r="L18" s="5"/>
      <c r="M18" s="5"/>
      <c r="N18" s="5"/>
      <c r="O18" s="5"/>
      <c r="P18" s="5"/>
      <c r="Q18" s="5"/>
      <c r="R18" s="5"/>
      <c r="S18" s="5"/>
      <c r="T18" s="5"/>
      <c r="U18" s="5"/>
      <c r="V18" s="5"/>
      <c r="W18" s="15"/>
      <c r="X18" s="15"/>
      <c r="Y18" s="15"/>
      <c r="Z18" s="15"/>
      <c r="AA18" s="5"/>
      <c r="AB18" s="5"/>
      <c r="AC18" s="5"/>
      <c r="AD18" s="5"/>
    </row>
    <row r="19">
      <c r="A19" s="229"/>
      <c r="B19" s="173"/>
      <c r="C19" s="5"/>
      <c r="D19" s="5"/>
      <c r="E19" s="5"/>
      <c r="F19" s="5"/>
      <c r="G19" s="5"/>
      <c r="H19" s="5"/>
      <c r="I19" s="5"/>
      <c r="J19" s="5"/>
      <c r="K19" s="5"/>
      <c r="L19" s="5"/>
      <c r="M19" s="5"/>
      <c r="N19" s="5"/>
      <c r="O19" s="5"/>
      <c r="P19" s="5"/>
      <c r="Q19" s="5"/>
      <c r="R19" s="5"/>
      <c r="S19" s="5"/>
      <c r="T19" s="5"/>
      <c r="U19" s="5"/>
      <c r="V19" s="5"/>
      <c r="W19" s="15"/>
      <c r="X19" s="15"/>
      <c r="Y19" s="15"/>
      <c r="Z19" s="15"/>
      <c r="AA19" s="5"/>
      <c r="AB19" s="5"/>
      <c r="AC19" s="5"/>
      <c r="AD19" s="5"/>
    </row>
    <row r="20">
      <c r="A20" s="229"/>
      <c r="B20" s="173"/>
      <c r="C20" s="5"/>
      <c r="D20" s="2"/>
      <c r="E20" s="5"/>
      <c r="F20" s="5"/>
      <c r="G20" s="5"/>
      <c r="H20" s="5"/>
      <c r="I20" s="5"/>
      <c r="J20" s="5"/>
      <c r="K20" s="5"/>
      <c r="L20" s="5"/>
      <c r="M20" s="5"/>
      <c r="N20" s="5"/>
      <c r="O20" s="5"/>
      <c r="P20" s="5"/>
      <c r="Q20" s="5"/>
      <c r="R20" s="5"/>
      <c r="S20" s="5"/>
      <c r="T20" s="5"/>
      <c r="U20" s="5"/>
      <c r="V20" s="5"/>
      <c r="W20" s="15"/>
      <c r="X20" s="15"/>
      <c r="Y20" s="15"/>
      <c r="Z20" s="15"/>
      <c r="AA20" s="5"/>
      <c r="AB20" s="5"/>
      <c r="AC20" s="5"/>
      <c r="AD20" s="5"/>
    </row>
    <row r="21">
      <c r="A21" s="229"/>
      <c r="B21" s="173"/>
      <c r="C21" s="5"/>
      <c r="D21" s="5"/>
      <c r="E21" s="5"/>
      <c r="F21" s="5"/>
      <c r="G21" s="2"/>
      <c r="H21" s="5"/>
      <c r="I21" s="5"/>
      <c r="J21" s="5"/>
      <c r="K21" s="5"/>
      <c r="L21" s="5"/>
      <c r="M21" s="5"/>
      <c r="N21" s="5"/>
      <c r="O21" s="5"/>
      <c r="P21" s="5"/>
      <c r="Q21" s="5"/>
      <c r="R21" s="5"/>
      <c r="S21" s="5"/>
      <c r="T21" s="5"/>
      <c r="U21" s="5"/>
      <c r="V21" s="5"/>
      <c r="W21" s="15"/>
      <c r="X21" s="15"/>
      <c r="Y21" s="15"/>
      <c r="Z21" s="15"/>
      <c r="AA21" s="5"/>
      <c r="AB21" s="5"/>
      <c r="AC21" s="5"/>
      <c r="AD21" s="5"/>
    </row>
    <row r="22">
      <c r="A22" s="229"/>
      <c r="B22" s="173"/>
      <c r="C22" s="5"/>
      <c r="D22" s="5"/>
      <c r="E22" s="5"/>
      <c r="F22" s="5"/>
      <c r="G22" s="5"/>
      <c r="H22" s="5"/>
      <c r="I22" s="5"/>
      <c r="J22" s="5"/>
      <c r="K22" s="5"/>
      <c r="L22" s="5"/>
      <c r="M22" s="5"/>
      <c r="N22" s="2"/>
      <c r="O22" s="5"/>
      <c r="P22" s="5"/>
      <c r="Q22" s="5"/>
      <c r="R22" s="5"/>
      <c r="S22" s="5"/>
      <c r="T22" s="5"/>
      <c r="U22" s="5"/>
      <c r="V22" s="5"/>
      <c r="W22" s="15"/>
      <c r="X22" s="15"/>
      <c r="Y22" s="15"/>
      <c r="Z22" s="15"/>
      <c r="AA22" s="5"/>
      <c r="AB22" s="5"/>
      <c r="AC22" s="5"/>
      <c r="AD22" s="5"/>
    </row>
    <row r="23">
      <c r="A23" s="230"/>
      <c r="B23" s="11"/>
      <c r="C23" s="5"/>
      <c r="D23" s="5"/>
      <c r="E23" s="5"/>
      <c r="F23" s="5"/>
      <c r="G23" s="5"/>
      <c r="H23" s="5"/>
      <c r="I23" s="5"/>
      <c r="J23" s="5"/>
      <c r="K23" s="5"/>
      <c r="L23" s="5"/>
      <c r="M23" s="5"/>
      <c r="N23" s="5"/>
      <c r="O23" s="5"/>
      <c r="P23" s="5"/>
      <c r="Q23" s="5"/>
      <c r="R23" s="5"/>
      <c r="S23" s="5"/>
      <c r="T23" s="5"/>
      <c r="U23" s="5"/>
      <c r="V23" s="5"/>
      <c r="W23" s="15"/>
      <c r="X23" s="15"/>
      <c r="Y23" s="15"/>
      <c r="Z23" s="15"/>
      <c r="AA23" s="5"/>
      <c r="AB23" s="5"/>
      <c r="AC23" s="5"/>
      <c r="AD23" s="5"/>
    </row>
    <row r="24" customHeight="1" ht="26.0">
      <c r="A24" s="12" t="s">
        <v>28</v>
      </c>
      <c r="B24" s="13" t="s">
        <v>29</v>
      </c>
      <c r="C24" s="5"/>
      <c r="D24" s="5"/>
      <c r="E24" s="5"/>
      <c r="F24" s="5"/>
      <c r="G24" s="5"/>
      <c r="H24" s="5"/>
      <c r="I24" s="5"/>
      <c r="J24" s="5"/>
      <c r="K24" s="5"/>
      <c r="L24" s="5"/>
      <c r="M24" s="5"/>
      <c r="N24" s="5"/>
      <c r="O24" s="5"/>
      <c r="P24" s="5"/>
      <c r="Q24" s="5"/>
      <c r="R24" s="5"/>
      <c r="S24" s="5"/>
      <c r="T24" s="5"/>
      <c r="U24" s="5"/>
      <c r="V24" s="5"/>
      <c r="W24" s="15"/>
      <c r="X24" s="15"/>
      <c r="Y24" s="15"/>
      <c r="Z24" s="15"/>
      <c r="AA24" s="5"/>
      <c r="AB24" s="5"/>
      <c r="AC24" s="5"/>
      <c r="AD24" s="5"/>
    </row>
    <row r="25">
      <c r="A25" s="5"/>
      <c r="B25" s="5"/>
      <c r="C25" s="5"/>
      <c r="D25" s="5"/>
      <c r="E25" s="5"/>
      <c r="F25" s="5"/>
      <c r="G25" s="5"/>
      <c r="H25" s="5"/>
      <c r="I25" s="5"/>
      <c r="J25" s="5"/>
      <c r="K25" s="5"/>
      <c r="L25" s="5"/>
      <c r="M25" s="5"/>
      <c r="N25" s="5"/>
      <c r="O25" s="5"/>
      <c r="P25" s="5"/>
      <c r="Q25" s="5"/>
      <c r="R25" s="5"/>
      <c r="S25" s="5"/>
      <c r="T25" s="5"/>
      <c r="U25" s="5"/>
      <c r="V25" s="5"/>
      <c r="W25" s="15"/>
      <c r="X25" s="15"/>
      <c r="Y25" s="15"/>
      <c r="Z25" s="15"/>
      <c r="AA25" s="5"/>
      <c r="AB25" s="5"/>
      <c r="AC25" s="5"/>
      <c r="AD25" s="5"/>
    </row>
    <row r="26">
      <c r="A26" s="231" t="s">
        <v>30</v>
      </c>
      <c r="B26" s="34"/>
      <c r="C26" s="34"/>
      <c r="D26" s="34"/>
      <c r="E26" s="34"/>
      <c r="F26" s="34"/>
      <c r="G26" s="34"/>
      <c r="H26" s="34"/>
      <c r="I26" s="34"/>
      <c r="J26" s="34"/>
      <c r="K26" s="34"/>
      <c r="L26" s="34"/>
      <c r="M26" s="34"/>
      <c r="N26" s="34"/>
      <c r="O26" s="34"/>
      <c r="P26" s="34"/>
      <c r="Q26" s="34"/>
      <c r="R26" s="34"/>
      <c r="S26" s="34"/>
      <c r="T26" s="34"/>
      <c r="U26" s="34"/>
      <c r="V26" s="34"/>
      <c r="W26" s="34"/>
      <c r="X26" s="34"/>
      <c r="Y26" s="5"/>
      <c r="Z26" s="5"/>
      <c r="AA26" s="5"/>
      <c r="AB26" s="5"/>
      <c r="AC26" s="5"/>
      <c r="AD26" s="5"/>
    </row>
    <row r="27">
      <c r="A27" s="5" t="s">
        <v>0</v>
      </c>
      <c r="B27" s="5" t="s">
        <v>102</v>
      </c>
      <c r="C27" s="53" t="s">
        <v>2</v>
      </c>
      <c r="D27" s="53"/>
      <c r="E27" s="53"/>
      <c r="F27" s="53"/>
      <c r="G27" s="40" t="s">
        <v>230</v>
      </c>
      <c r="H27" s="53"/>
      <c r="I27" s="53"/>
      <c r="J27" s="53"/>
      <c r="K27" s="40" t="s">
        <v>36</v>
      </c>
      <c r="L27" s="53"/>
      <c r="M27" s="53"/>
      <c r="N27" s="53"/>
      <c r="O27" s="53" t="s">
        <v>3</v>
      </c>
      <c r="P27" s="53"/>
      <c r="Q27" s="53"/>
      <c r="R27" s="53"/>
      <c r="S27" s="53" t="s">
        <v>691</v>
      </c>
      <c r="T27" s="53"/>
      <c r="U27" s="53"/>
      <c r="V27" s="53"/>
      <c r="W27" s="15"/>
      <c r="X27" s="15"/>
      <c r="Y27" s="15"/>
      <c r="Z27" s="15"/>
      <c r="AA27" s="5"/>
      <c r="AB27" s="5"/>
      <c r="AC27" s="5"/>
      <c r="AD27" s="5"/>
    </row>
    <row r="28">
      <c r="A28" s="5"/>
      <c r="B28" s="5" t="s">
        <v>406</v>
      </c>
      <c r="C28" s="15" t="s">
        <v>638</v>
      </c>
      <c r="D28" s="15" t="s">
        <v>639</v>
      </c>
      <c r="E28" s="15" t="s">
        <v>640</v>
      </c>
      <c r="F28" s="15" t="s">
        <v>641</v>
      </c>
      <c r="G28" s="5" t="s">
        <v>638</v>
      </c>
      <c r="H28" s="5" t="s">
        <v>639</v>
      </c>
      <c r="I28" s="5" t="s">
        <v>640</v>
      </c>
      <c r="J28" s="5" t="s">
        <v>641</v>
      </c>
      <c r="K28" s="5" t="s">
        <v>638</v>
      </c>
      <c r="L28" s="5" t="s">
        <v>639</v>
      </c>
      <c r="M28" s="5" t="s">
        <v>640</v>
      </c>
      <c r="N28" s="5" t="s">
        <v>641</v>
      </c>
      <c r="O28" s="5" t="s">
        <v>638</v>
      </c>
      <c r="P28" s="5" t="s">
        <v>639</v>
      </c>
      <c r="Q28" s="5" t="s">
        <v>640</v>
      </c>
      <c r="R28" s="5" t="s">
        <v>641</v>
      </c>
      <c r="S28" s="15" t="s">
        <v>642</v>
      </c>
      <c r="T28" s="15" t="s">
        <v>639</v>
      </c>
      <c r="U28" s="15" t="s">
        <v>640</v>
      </c>
      <c r="V28" s="15" t="s">
        <v>641</v>
      </c>
      <c r="W28" s="15"/>
      <c r="X28" s="15"/>
      <c r="Y28" s="15"/>
      <c r="Z28" s="15"/>
      <c r="AA28" s="5"/>
      <c r="AB28" s="5"/>
      <c r="AC28" s="5"/>
      <c r="AD28" s="5"/>
    </row>
    <row r="29" customHeight="1" ht="39.0">
      <c r="A29" s="232" t="n">
        <v>44011.0</v>
      </c>
      <c r="B29" s="5" t="s">
        <v>90</v>
      </c>
      <c r="C29" s="5" t="s">
        <v>692</v>
      </c>
      <c r="D29" s="5" t="s">
        <v>693</v>
      </c>
      <c r="E29" s="5" t="s">
        <v>694</v>
      </c>
      <c r="F29" s="5" t="s">
        <v>695</v>
      </c>
      <c r="G29" s="15" t="s">
        <v>696</v>
      </c>
      <c r="H29" s="15" t="s">
        <v>697</v>
      </c>
      <c r="I29" s="15" t="s">
        <v>698</v>
      </c>
      <c r="J29" s="15" t="s">
        <v>699</v>
      </c>
      <c r="K29" s="155"/>
      <c r="L29" s="15" t="s">
        <v>700</v>
      </c>
      <c r="M29" s="15" t="s">
        <v>701</v>
      </c>
      <c r="N29" s="15"/>
      <c r="O29" s="155" t="s">
        <v>702</v>
      </c>
      <c r="P29" s="15" t="s">
        <v>703</v>
      </c>
      <c r="Q29" s="15" t="s">
        <v>704</v>
      </c>
      <c r="R29" s="155" t="s">
        <v>705</v>
      </c>
      <c r="S29" s="15"/>
      <c r="T29" s="15"/>
      <c r="U29" s="15"/>
      <c r="V29" s="15"/>
      <c r="W29" s="15"/>
      <c r="X29" s="15"/>
      <c r="Y29" s="15"/>
      <c r="Z29" s="15"/>
      <c r="AA29" s="5"/>
      <c r="AB29" s="5"/>
      <c r="AC29" s="5"/>
      <c r="AD29" s="5"/>
    </row>
    <row r="30" customHeight="1" ht="39.0">
      <c r="A30" s="232" t="n">
        <v>44012.0</v>
      </c>
      <c r="B30" s="5" t="s">
        <v>92</v>
      </c>
      <c r="C30" s="15" t="s">
        <v>706</v>
      </c>
      <c r="D30" s="15" t="s">
        <v>707</v>
      </c>
      <c r="E30" s="15" t="s">
        <v>708</v>
      </c>
      <c r="F30" s="15" t="s">
        <v>709</v>
      </c>
      <c r="G30" s="15" t="s">
        <v>710</v>
      </c>
      <c r="H30" s="155"/>
      <c r="I30" s="15" t="s">
        <v>711</v>
      </c>
      <c r="J30" s="15" t="s">
        <v>712</v>
      </c>
      <c r="K30" s="15" t="s">
        <v>713</v>
      </c>
      <c r="L30" s="15" t="s">
        <v>714</v>
      </c>
      <c r="M30" s="15" t="s">
        <v>715</v>
      </c>
      <c r="N30" s="15" t="s">
        <v>716</v>
      </c>
      <c r="O30" s="13" t="s">
        <v>702</v>
      </c>
      <c r="P30" s="15" t="s">
        <v>703</v>
      </c>
      <c r="Q30" s="15" t="s">
        <v>717</v>
      </c>
      <c r="R30" s="15" t="s">
        <v>718</v>
      </c>
      <c r="S30" s="15"/>
      <c r="T30" s="15"/>
      <c r="U30" s="15"/>
      <c r="V30" s="15"/>
      <c r="W30" s="15"/>
      <c r="X30" s="15"/>
      <c r="Y30" s="15"/>
      <c r="Z30" s="15"/>
      <c r="AA30" s="5"/>
      <c r="AB30" s="5"/>
      <c r="AC30" s="5"/>
      <c r="AD30" s="5"/>
    </row>
    <row r="31" customHeight="1" ht="52.0">
      <c r="A31" s="232" t="n">
        <v>44013.0</v>
      </c>
      <c r="B31" s="5" t="s">
        <v>94</v>
      </c>
      <c r="C31" s="15" t="s">
        <v>719</v>
      </c>
      <c r="D31" s="15" t="s">
        <v>720</v>
      </c>
      <c r="E31" s="15" t="s">
        <v>721</v>
      </c>
      <c r="F31" s="15" t="s">
        <v>722</v>
      </c>
      <c r="G31" s="15" t="s">
        <v>723</v>
      </c>
      <c r="H31" s="15" t="s">
        <v>724</v>
      </c>
      <c r="I31" s="15" t="s">
        <v>725</v>
      </c>
      <c r="J31" s="15" t="s">
        <v>726</v>
      </c>
      <c r="K31" s="233"/>
      <c r="L31" s="15" t="s">
        <v>727</v>
      </c>
      <c r="M31" s="15" t="s">
        <v>728</v>
      </c>
      <c r="N31" s="15" t="s">
        <v>729</v>
      </c>
      <c r="O31" s="15" t="s">
        <v>730</v>
      </c>
      <c r="P31" s="5" t="s">
        <v>731</v>
      </c>
      <c r="Q31" s="15" t="s">
        <v>732</v>
      </c>
      <c r="R31" s="15" t="s">
        <v>733</v>
      </c>
      <c r="S31" s="15" t="s">
        <v>734</v>
      </c>
      <c r="T31" s="15" t="s">
        <v>735</v>
      </c>
      <c r="U31" s="15" t="s">
        <v>736</v>
      </c>
      <c r="V31" s="15" t="s">
        <v>737</v>
      </c>
      <c r="W31" s="15"/>
      <c r="X31" s="15"/>
      <c r="Y31" s="15"/>
      <c r="Z31" s="15"/>
      <c r="AA31" s="5"/>
      <c r="AB31" s="5"/>
      <c r="AC31" s="5"/>
      <c r="AD31" s="5"/>
    </row>
    <row r="32" customHeight="1" ht="52.0">
      <c r="A32" s="232" t="n">
        <v>44014.0</v>
      </c>
      <c r="B32" s="5" t="s">
        <v>96</v>
      </c>
      <c r="C32" s="15" t="s">
        <v>738</v>
      </c>
      <c r="D32" s="15" t="s">
        <v>739</v>
      </c>
      <c r="E32" s="15" t="s">
        <v>740</v>
      </c>
      <c r="F32" s="15" t="s">
        <v>741</v>
      </c>
      <c r="G32" s="15" t="s">
        <v>742</v>
      </c>
      <c r="H32" s="15" t="s">
        <v>743</v>
      </c>
      <c r="I32" s="15" t="s">
        <v>744</v>
      </c>
      <c r="J32" s="15" t="s">
        <v>745</v>
      </c>
      <c r="K32" s="233"/>
      <c r="L32" s="15" t="s">
        <v>746</v>
      </c>
      <c r="M32" s="15" t="s">
        <v>747</v>
      </c>
      <c r="N32" s="15"/>
      <c r="O32" s="15" t="s">
        <v>730</v>
      </c>
      <c r="P32" s="15" t="s">
        <v>748</v>
      </c>
      <c r="Q32" s="15" t="s">
        <v>749</v>
      </c>
      <c r="R32" s="155" t="s">
        <v>750</v>
      </c>
      <c r="S32" s="15" t="s">
        <v>751</v>
      </c>
      <c r="T32" s="15" t="s">
        <v>752</v>
      </c>
      <c r="U32" s="15" t="s">
        <v>753</v>
      </c>
      <c r="V32" s="15" t="s">
        <v>754</v>
      </c>
      <c r="W32" s="15"/>
      <c r="X32" s="15"/>
      <c r="Y32" s="15"/>
      <c r="Z32" s="15"/>
      <c r="AA32" s="5"/>
      <c r="AB32" s="5"/>
      <c r="AC32" s="5"/>
      <c r="AD32" s="5"/>
    </row>
    <row r="33" customHeight="1" ht="52.0">
      <c r="A33" s="232" t="n">
        <v>44015.0</v>
      </c>
      <c r="B33" s="5" t="s">
        <v>98</v>
      </c>
      <c r="C33" s="15" t="s">
        <v>755</v>
      </c>
      <c r="D33" s="15" t="s">
        <v>756</v>
      </c>
      <c r="E33" s="15" t="s">
        <v>757</v>
      </c>
      <c r="F33" s="15" t="s">
        <v>758</v>
      </c>
      <c r="G33" s="15" t="s">
        <v>759</v>
      </c>
      <c r="H33" s="15" t="s">
        <v>760</v>
      </c>
      <c r="I33" s="15" t="s">
        <v>761</v>
      </c>
      <c r="J33" s="15"/>
      <c r="K33" s="15" t="s">
        <v>762</v>
      </c>
      <c r="L33" s="15" t="s">
        <v>763</v>
      </c>
      <c r="M33" s="15" t="s">
        <v>764</v>
      </c>
      <c r="N33" s="15"/>
      <c r="O33" s="15" t="s">
        <v>730</v>
      </c>
      <c r="P33" s="15" t="s">
        <v>765</v>
      </c>
      <c r="Q33" s="15" t="s">
        <v>766</v>
      </c>
      <c r="R33" s="15" t="s">
        <v>767</v>
      </c>
      <c r="S33" s="15" t="s">
        <v>768</v>
      </c>
      <c r="T33" s="15" t="s">
        <v>769</v>
      </c>
      <c r="U33" s="15" t="s">
        <v>770</v>
      </c>
      <c r="V33" s="15" t="s">
        <v>771</v>
      </c>
      <c r="W33" s="15"/>
      <c r="X33" s="15"/>
      <c r="Y33" s="15"/>
      <c r="Z33" s="15"/>
      <c r="AA33" s="5"/>
      <c r="AB33" s="5"/>
      <c r="AC33" s="5"/>
      <c r="AD33" s="5"/>
    </row>
    <row r="34" customHeight="1" ht="39.0">
      <c r="A34" s="232" t="n">
        <v>44016.0</v>
      </c>
      <c r="B34" s="5" t="s">
        <v>100</v>
      </c>
      <c r="C34" s="15" t="s">
        <v>772</v>
      </c>
      <c r="D34" s="15" t="s">
        <v>773</v>
      </c>
      <c r="E34" s="15" t="s">
        <v>774</v>
      </c>
      <c r="F34" s="15" t="s">
        <v>758</v>
      </c>
      <c r="G34" s="15" t="s">
        <v>775</v>
      </c>
      <c r="H34" s="234"/>
      <c r="I34" s="15" t="s">
        <v>776</v>
      </c>
      <c r="J34" s="15" t="s">
        <v>660</v>
      </c>
      <c r="K34" s="155"/>
      <c r="L34" s="15" t="s">
        <v>777</v>
      </c>
      <c r="M34" s="15" t="s">
        <v>778</v>
      </c>
      <c r="N34" s="15"/>
      <c r="O34" s="15" t="s">
        <v>730</v>
      </c>
      <c r="P34" s="15" t="s">
        <v>779</v>
      </c>
      <c r="Q34" s="5" t="s">
        <v>780</v>
      </c>
      <c r="R34" s="155" t="s">
        <v>781</v>
      </c>
      <c r="S34" s="15" t="s">
        <v>782</v>
      </c>
      <c r="T34" s="15" t="s">
        <v>783</v>
      </c>
      <c r="U34" s="15" t="s">
        <v>784</v>
      </c>
      <c r="V34" s="15" t="s">
        <v>785</v>
      </c>
      <c r="W34" s="15"/>
      <c r="X34" s="15"/>
      <c r="Y34" s="15"/>
      <c r="Z34" s="15"/>
      <c r="AA34" s="5"/>
      <c r="AB34" s="5"/>
      <c r="AC34" s="5"/>
      <c r="AD34" s="5"/>
    </row>
    <row r="35" customHeight="1" ht="39.0">
      <c r="A35" s="232" t="n">
        <v>44017.0</v>
      </c>
      <c r="B35" s="5" t="s">
        <v>101</v>
      </c>
      <c r="C35" s="15" t="s">
        <v>786</v>
      </c>
      <c r="D35" s="15" t="s">
        <v>787</v>
      </c>
      <c r="E35" s="15" t="s">
        <v>788</v>
      </c>
      <c r="F35" s="15" t="s">
        <v>789</v>
      </c>
      <c r="G35" s="15" t="s">
        <v>790</v>
      </c>
      <c r="H35" s="15" t="s">
        <v>791</v>
      </c>
      <c r="I35" s="15" t="s">
        <v>792</v>
      </c>
      <c r="J35" s="15" t="s">
        <v>646</v>
      </c>
      <c r="K35" s="15" t="s">
        <v>793</v>
      </c>
      <c r="L35" s="15" t="s">
        <v>794</v>
      </c>
      <c r="M35" s="15" t="s">
        <v>795</v>
      </c>
      <c r="N35" s="15" t="s">
        <v>646</v>
      </c>
      <c r="O35" s="15" t="s">
        <v>730</v>
      </c>
      <c r="P35" s="15" t="s">
        <v>780</v>
      </c>
      <c r="Q35" s="15" t="s">
        <v>796</v>
      </c>
      <c r="R35" s="5" t="s">
        <v>797</v>
      </c>
      <c r="S35" s="15" t="s">
        <v>798</v>
      </c>
      <c r="T35" s="15" t="s">
        <v>799</v>
      </c>
      <c r="U35" s="15" t="s">
        <v>800</v>
      </c>
      <c r="V35" s="15" t="s">
        <v>801</v>
      </c>
      <c r="W35" s="15"/>
      <c r="X35" s="15"/>
      <c r="Y35" s="15"/>
      <c r="Z35" s="15"/>
      <c r="AA35" s="5"/>
      <c r="AB35" s="5"/>
      <c r="AC35" s="5"/>
      <c r="AD35" s="5"/>
    </row>
    <row r="36" customHeight="1" ht="26.0">
      <c r="A36" s="224"/>
      <c r="B36" s="15"/>
      <c r="C36" s="235"/>
      <c r="D36" s="60"/>
      <c r="E36" s="60"/>
      <c r="F36" s="60"/>
      <c r="G36" s="60" t="s">
        <v>802</v>
      </c>
      <c r="H36" s="60"/>
      <c r="I36" s="60"/>
      <c r="J36" s="236"/>
      <c r="K36" s="237" t="s">
        <v>803</v>
      </c>
      <c r="L36" s="237"/>
      <c r="M36" s="237"/>
      <c r="N36" s="237"/>
      <c r="O36" s="238" t="s">
        <v>804</v>
      </c>
      <c r="P36" s="238"/>
      <c r="Q36" s="238"/>
      <c r="R36" s="238"/>
      <c r="S36" s="15" t="s">
        <v>805</v>
      </c>
      <c r="T36" s="15"/>
      <c r="U36" s="15"/>
      <c r="V36" s="15"/>
      <c r="W36" s="15"/>
      <c r="X36" s="15"/>
      <c r="Y36" s="15"/>
      <c r="Z36" s="15"/>
      <c r="AA36" s="5"/>
      <c r="AB36" s="5"/>
      <c r="AC36" s="5"/>
      <c r="AD36" s="5"/>
    </row>
    <row r="37">
      <c r="A37" s="224"/>
      <c r="B37" s="15"/>
      <c r="C37" s="236" t="s">
        <v>114</v>
      </c>
      <c r="D37" s="236"/>
      <c r="E37" s="236"/>
      <c r="F37" s="236"/>
      <c r="G37" s="60" t="s">
        <v>114</v>
      </c>
      <c r="H37" s="60"/>
      <c r="I37" s="60"/>
      <c r="J37" s="60"/>
      <c r="K37" s="64" t="s">
        <v>806</v>
      </c>
      <c r="L37" s="239"/>
      <c r="M37" s="239"/>
      <c r="N37" s="239"/>
      <c r="O37" s="61" t="s">
        <v>806</v>
      </c>
      <c r="P37" s="240"/>
      <c r="Q37" s="240"/>
      <c r="R37" s="240"/>
      <c r="S37" s="60" t="s">
        <v>114</v>
      </c>
      <c r="T37" s="60"/>
      <c r="U37" s="60"/>
      <c r="V37" s="60"/>
      <c r="W37" s="15"/>
      <c r="X37" s="15"/>
      <c r="Y37" s="15"/>
      <c r="Z37" s="15"/>
      <c r="AA37" s="5"/>
      <c r="AB37" s="5"/>
      <c r="AC37" s="5"/>
      <c r="AD37" s="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5"/>
      <c r="AB38" s="5"/>
      <c r="AC38" s="5"/>
      <c r="AD38" s="5"/>
    </row>
    <row r="39">
      <c r="A39" s="5" t="s">
        <v>0</v>
      </c>
      <c r="B39" s="5" t="s">
        <v>102</v>
      </c>
      <c r="C39" s="40" t="s">
        <v>2</v>
      </c>
      <c r="D39" s="40"/>
      <c r="E39" s="40"/>
      <c r="F39" s="40"/>
      <c r="G39" s="40"/>
      <c r="H39" s="40"/>
      <c r="I39" s="40"/>
      <c r="J39" s="40"/>
      <c r="K39" s="40"/>
      <c r="L39" s="40"/>
      <c r="M39" s="40"/>
      <c r="N39" s="40"/>
      <c r="O39" s="40"/>
      <c r="P39" s="40"/>
      <c r="Q39" s="40"/>
      <c r="R39" s="40"/>
      <c r="S39" s="40"/>
      <c r="T39" s="40"/>
      <c r="U39" s="40"/>
      <c r="V39" s="40"/>
      <c r="W39" s="15"/>
      <c r="X39" s="15"/>
      <c r="Y39" s="15"/>
      <c r="Z39" s="15"/>
      <c r="AA39" s="5"/>
      <c r="AB39" s="5"/>
      <c r="AC39" s="5"/>
      <c r="AD39" s="5"/>
    </row>
    <row r="40">
      <c r="A40" s="5"/>
      <c r="B40" s="5" t="s">
        <v>634</v>
      </c>
      <c r="C40" s="40" t="s">
        <v>807</v>
      </c>
      <c r="D40" s="40"/>
      <c r="E40" s="40"/>
      <c r="F40" s="40"/>
      <c r="G40" s="40"/>
      <c r="H40" s="40"/>
      <c r="I40" s="40"/>
      <c r="J40" s="40"/>
      <c r="K40" s="40"/>
      <c r="L40" s="40"/>
      <c r="M40" s="40"/>
      <c r="N40" s="40"/>
      <c r="O40" s="40"/>
      <c r="P40" s="40"/>
      <c r="Q40" s="40"/>
      <c r="R40" s="40"/>
      <c r="S40" s="40"/>
      <c r="T40" s="40"/>
      <c r="U40" s="40"/>
      <c r="V40" s="40"/>
      <c r="W40" s="15"/>
      <c r="X40" s="15"/>
      <c r="Y40" s="15"/>
      <c r="Z40" s="15"/>
      <c r="AA40" s="5"/>
      <c r="AB40" s="5"/>
      <c r="AC40" s="5"/>
      <c r="AD40" s="5"/>
    </row>
    <row r="41">
      <c r="A41" s="5"/>
      <c r="B41" s="5" t="s">
        <v>406</v>
      </c>
      <c r="C41" s="5" t="s">
        <v>638</v>
      </c>
      <c r="D41" s="5" t="s">
        <v>639</v>
      </c>
      <c r="E41" s="5" t="s">
        <v>640</v>
      </c>
      <c r="F41" s="5" t="s">
        <v>641</v>
      </c>
      <c r="G41" s="5" t="s">
        <v>638</v>
      </c>
      <c r="H41" s="5" t="s">
        <v>639</v>
      </c>
      <c r="I41" s="5" t="s">
        <v>640</v>
      </c>
      <c r="J41" s="5" t="s">
        <v>641</v>
      </c>
      <c r="K41" s="5" t="s">
        <v>638</v>
      </c>
      <c r="L41" s="5" t="s">
        <v>639</v>
      </c>
      <c r="M41" s="5" t="s">
        <v>640</v>
      </c>
      <c r="N41" s="5" t="s">
        <v>641</v>
      </c>
      <c r="O41" s="5" t="s">
        <v>638</v>
      </c>
      <c r="P41" s="5" t="s">
        <v>639</v>
      </c>
      <c r="Q41" s="5" t="s">
        <v>640</v>
      </c>
      <c r="R41" s="5" t="s">
        <v>641</v>
      </c>
      <c r="S41" s="5" t="s">
        <v>642</v>
      </c>
      <c r="T41" s="5" t="s">
        <v>639</v>
      </c>
      <c r="U41" s="5" t="s">
        <v>640</v>
      </c>
      <c r="V41" s="5" t="s">
        <v>641</v>
      </c>
      <c r="W41" s="15"/>
      <c r="X41" s="15"/>
      <c r="Y41" s="15"/>
      <c r="Z41" s="15"/>
      <c r="AA41" s="5"/>
      <c r="AB41" s="5"/>
      <c r="AC41" s="5"/>
      <c r="AD41" s="5"/>
    </row>
    <row r="42" customHeight="1" ht="39.0">
      <c r="A42" s="232" t="n">
        <v>44032.0</v>
      </c>
      <c r="B42" s="5" t="s">
        <v>90</v>
      </c>
      <c r="C42" s="40" t="s">
        <v>808</v>
      </c>
      <c r="D42" s="40" t="s">
        <v>809</v>
      </c>
      <c r="E42" s="40" t="s">
        <v>810</v>
      </c>
      <c r="F42" s="40" t="s">
        <v>811</v>
      </c>
      <c r="G42" s="40"/>
      <c r="H42" s="40"/>
      <c r="I42" s="40"/>
      <c r="J42" s="40"/>
      <c r="K42" s="40"/>
      <c r="L42" s="40"/>
      <c r="M42" s="40"/>
      <c r="N42" s="40"/>
      <c r="O42" s="40"/>
      <c r="P42" s="40"/>
      <c r="Q42" s="40"/>
      <c r="R42" s="40"/>
      <c r="S42" s="40"/>
      <c r="T42" s="40"/>
      <c r="U42" s="40"/>
      <c r="V42" s="40"/>
      <c r="W42" s="15"/>
      <c r="X42" s="15"/>
      <c r="Y42" s="15"/>
      <c r="Z42" s="15"/>
      <c r="AA42" s="5"/>
      <c r="AB42" s="5"/>
      <c r="AC42" s="5"/>
      <c r="AD42" s="5"/>
    </row>
    <row r="43" customHeight="1" ht="39.0">
      <c r="A43" s="232" t="n">
        <v>44033.0</v>
      </c>
      <c r="B43" s="5" t="s">
        <v>92</v>
      </c>
      <c r="C43" s="5" t="s">
        <v>812</v>
      </c>
      <c r="D43" s="5" t="s">
        <v>813</v>
      </c>
      <c r="E43" s="5" t="s">
        <v>814</v>
      </c>
      <c r="F43" s="5" t="s">
        <v>811</v>
      </c>
      <c r="G43" s="5"/>
      <c r="H43" s="40"/>
      <c r="I43" s="40"/>
      <c r="J43" s="40"/>
      <c r="K43" s="40"/>
      <c r="L43" s="40"/>
      <c r="M43" s="40"/>
      <c r="N43" s="40"/>
      <c r="O43" s="40"/>
      <c r="P43" s="40"/>
      <c r="Q43" s="40"/>
      <c r="R43" s="40"/>
      <c r="S43" s="40"/>
      <c r="T43" s="40"/>
      <c r="U43" s="40"/>
      <c r="V43" s="40"/>
      <c r="W43" s="15"/>
      <c r="X43" s="15"/>
      <c r="Y43" s="15"/>
      <c r="Z43" s="15"/>
      <c r="AA43" s="5"/>
      <c r="AB43" s="5"/>
      <c r="AC43" s="5"/>
      <c r="AD43" s="5"/>
    </row>
    <row r="44" customHeight="1" ht="39.0">
      <c r="A44" s="232" t="n">
        <v>44034.0</v>
      </c>
      <c r="B44" s="5" t="s">
        <v>94</v>
      </c>
      <c r="C44" s="40" t="s">
        <v>815</v>
      </c>
      <c r="D44" s="5" t="s">
        <v>814</v>
      </c>
      <c r="E44" s="40" t="s">
        <v>816</v>
      </c>
      <c r="F44" s="40" t="s">
        <v>811</v>
      </c>
      <c r="G44" s="40"/>
      <c r="H44" s="40"/>
      <c r="I44" s="40"/>
      <c r="J44" s="40"/>
      <c r="K44" s="40"/>
      <c r="L44" s="40"/>
      <c r="M44" s="40"/>
      <c r="N44" s="40"/>
      <c r="O44" s="40"/>
      <c r="P44" s="40"/>
      <c r="Q44" s="40"/>
      <c r="R44" s="40"/>
      <c r="S44" s="40"/>
      <c r="T44" s="40"/>
      <c r="U44" s="40"/>
      <c r="V44" s="40"/>
      <c r="W44" s="15"/>
      <c r="X44" s="15"/>
      <c r="Y44" s="15"/>
      <c r="Z44" s="15"/>
      <c r="AA44" s="5"/>
      <c r="AB44" s="5"/>
      <c r="AC44" s="5"/>
      <c r="AD44" s="5"/>
    </row>
    <row r="45" customHeight="1" ht="78.0">
      <c r="A45" s="232" t="n">
        <v>44035.0</v>
      </c>
      <c r="B45" s="5" t="s">
        <v>96</v>
      </c>
      <c r="C45" s="40" t="s">
        <v>817</v>
      </c>
      <c r="D45" s="40" t="s">
        <v>818</v>
      </c>
      <c r="E45" s="40" t="s">
        <v>819</v>
      </c>
      <c r="F45" s="40" t="s">
        <v>811</v>
      </c>
      <c r="G45" s="40"/>
      <c r="H45" s="40"/>
      <c r="I45" s="40"/>
      <c r="J45" s="40"/>
      <c r="K45" s="40"/>
      <c r="L45" s="40"/>
      <c r="M45" s="40"/>
      <c r="N45" s="40"/>
      <c r="O45" s="40"/>
      <c r="P45" s="40"/>
      <c r="Q45" s="40"/>
      <c r="R45" s="40"/>
      <c r="S45" s="40"/>
      <c r="T45" s="40"/>
      <c r="U45" s="40"/>
      <c r="V45" s="40"/>
      <c r="W45" s="15"/>
      <c r="X45" s="15"/>
      <c r="Y45" s="15"/>
      <c r="Z45" s="15"/>
      <c r="AA45" s="5"/>
      <c r="AB45" s="5"/>
      <c r="AC45" s="5"/>
      <c r="AD45" s="5"/>
    </row>
    <row r="46" customHeight="1" ht="39.0">
      <c r="A46" s="232" t="n">
        <v>44036.0</v>
      </c>
      <c r="B46" s="5" t="s">
        <v>98</v>
      </c>
      <c r="C46" s="40" t="s">
        <v>820</v>
      </c>
      <c r="D46" s="40" t="s">
        <v>821</v>
      </c>
      <c r="E46" s="40" t="s">
        <v>821</v>
      </c>
      <c r="F46" s="40" t="s">
        <v>822</v>
      </c>
      <c r="G46" s="40"/>
      <c r="H46" s="40"/>
      <c r="I46" s="40"/>
      <c r="J46" s="40"/>
      <c r="K46" s="40"/>
      <c r="L46" s="40"/>
      <c r="M46" s="40"/>
      <c r="N46" s="40"/>
      <c r="O46" s="40"/>
      <c r="P46" s="40"/>
      <c r="Q46" s="40"/>
      <c r="R46" s="40"/>
      <c r="S46" s="40"/>
      <c r="T46" s="40"/>
      <c r="U46" s="40"/>
      <c r="V46" s="40"/>
      <c r="W46" s="15"/>
      <c r="X46" s="15"/>
      <c r="Y46" s="15"/>
      <c r="Z46" s="15"/>
      <c r="AA46" s="5"/>
      <c r="AB46" s="5"/>
      <c r="AC46" s="5"/>
      <c r="AD46" s="5"/>
    </row>
    <row r="47" customHeight="1" ht="65.0">
      <c r="A47" s="232" t="n">
        <v>44037.0</v>
      </c>
      <c r="B47" s="5" t="s">
        <v>100</v>
      </c>
      <c r="C47" s="40" t="s">
        <v>823</v>
      </c>
      <c r="D47" s="40" t="s">
        <v>824</v>
      </c>
      <c r="E47" s="40" t="s">
        <v>825</v>
      </c>
      <c r="F47" s="40" t="s">
        <v>822</v>
      </c>
      <c r="G47" s="40"/>
      <c r="H47" s="40"/>
      <c r="I47" s="40"/>
      <c r="J47" s="40"/>
      <c r="K47" s="40"/>
      <c r="L47" s="40"/>
      <c r="M47" s="40"/>
      <c r="N47" s="40"/>
      <c r="O47" s="40"/>
      <c r="P47" s="40"/>
      <c r="Q47" s="40"/>
      <c r="R47" s="40"/>
      <c r="S47" s="40"/>
      <c r="T47" s="40"/>
      <c r="U47" s="40"/>
      <c r="V47" s="40"/>
      <c r="W47" s="15"/>
      <c r="X47" s="15"/>
      <c r="Y47" s="15"/>
      <c r="Z47" s="15"/>
      <c r="AA47" s="5"/>
      <c r="AB47" s="5"/>
      <c r="AC47" s="5"/>
      <c r="AD47" s="5"/>
    </row>
    <row r="48">
      <c r="A48" s="232" t="n">
        <v>44038.0</v>
      </c>
      <c r="B48" s="5" t="s">
        <v>101</v>
      </c>
      <c r="C48" s="40"/>
      <c r="D48" s="40"/>
      <c r="E48" s="40"/>
      <c r="F48" s="40"/>
      <c r="G48" s="40"/>
      <c r="H48" s="40"/>
      <c r="I48" s="40"/>
      <c r="J48" s="40"/>
      <c r="K48" s="40"/>
      <c r="L48" s="40"/>
      <c r="M48" s="40"/>
      <c r="N48" s="40"/>
      <c r="O48" s="40"/>
      <c r="P48" s="40"/>
      <c r="Q48" s="40"/>
      <c r="R48" s="40"/>
      <c r="S48" s="40"/>
      <c r="T48" s="40"/>
      <c r="U48" s="40"/>
      <c r="V48" s="40"/>
      <c r="W48" s="15"/>
      <c r="X48" s="15"/>
      <c r="Y48" s="15"/>
      <c r="Z48" s="15"/>
      <c r="AA48" s="5"/>
      <c r="AB48" s="5"/>
      <c r="AC48" s="5"/>
      <c r="AD48" s="5"/>
    </row>
    <row r="49">
      <c r="A49" s="232" t="n">
        <v>44039.0</v>
      </c>
      <c r="B49" s="5" t="s">
        <v>90</v>
      </c>
      <c r="C49" s="40"/>
      <c r="D49" s="40"/>
      <c r="E49" s="40"/>
      <c r="F49" s="40"/>
      <c r="G49" s="40"/>
      <c r="H49" s="40"/>
      <c r="I49" s="40"/>
      <c r="J49" s="40"/>
      <c r="K49" s="40"/>
      <c r="L49" s="40"/>
      <c r="M49" s="40"/>
      <c r="N49" s="40"/>
      <c r="O49" s="40"/>
      <c r="P49" s="40"/>
      <c r="Q49" s="40"/>
      <c r="R49" s="40"/>
      <c r="S49" s="40"/>
      <c r="T49" s="40"/>
      <c r="U49" s="40"/>
      <c r="V49" s="40"/>
      <c r="W49" s="15"/>
      <c r="X49" s="15"/>
      <c r="Y49" s="15"/>
      <c r="Z49" s="15"/>
      <c r="AA49" s="5"/>
      <c r="AB49" s="5"/>
      <c r="AC49" s="5"/>
      <c r="AD49" s="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5"/>
      <c r="AB50" s="5"/>
      <c r="AC50" s="5"/>
      <c r="AD50" s="5"/>
    </row>
    <row r="51">
      <c r="A51" s="225" t="s">
        <v>0</v>
      </c>
      <c r="B51" s="89" t="s">
        <v>102</v>
      </c>
      <c r="C51" s="43" t="s">
        <v>2</v>
      </c>
      <c r="D51" s="43"/>
      <c r="E51" s="43"/>
      <c r="F51" s="43"/>
      <c r="G51" s="43" t="s">
        <v>34</v>
      </c>
      <c r="H51" s="43"/>
      <c r="I51" s="43"/>
      <c r="J51" s="43"/>
      <c r="K51" s="43" t="s">
        <v>4</v>
      </c>
      <c r="L51" s="43"/>
      <c r="M51" s="43"/>
      <c r="N51" s="43"/>
      <c r="O51" s="43" t="s">
        <v>103</v>
      </c>
      <c r="P51" s="43"/>
      <c r="Q51" s="43"/>
      <c r="R51" s="44"/>
      <c r="S51" s="43"/>
      <c r="T51" s="43"/>
      <c r="U51" s="43"/>
      <c r="V51" s="43"/>
      <c r="W51" s="2"/>
      <c r="X51" s="2"/>
      <c r="Y51" s="2"/>
      <c r="Z51" s="2"/>
      <c r="AA51" s="1"/>
      <c r="AB51" s="1"/>
      <c r="AC51" s="1"/>
      <c r="AD51" s="1"/>
    </row>
    <row r="52">
      <c r="A52" s="229"/>
      <c r="B52" s="5" t="s">
        <v>634</v>
      </c>
      <c r="C52" s="40" t="s">
        <v>807</v>
      </c>
      <c r="D52" s="40"/>
      <c r="E52" s="40"/>
      <c r="F52" s="40"/>
      <c r="G52" s="40"/>
      <c r="H52" s="40"/>
      <c r="I52" s="40"/>
      <c r="J52" s="40"/>
      <c r="K52" s="40" t="s">
        <v>826</v>
      </c>
      <c r="L52" s="40"/>
      <c r="M52" s="40"/>
      <c r="N52" s="40"/>
      <c r="O52" s="40" t="s">
        <v>827</v>
      </c>
      <c r="P52" s="40"/>
      <c r="Q52" s="40"/>
      <c r="R52" s="241"/>
      <c r="S52" s="40"/>
      <c r="T52" s="40"/>
      <c r="U52" s="40"/>
      <c r="V52" s="40"/>
      <c r="W52" s="2"/>
      <c r="X52" s="2"/>
      <c r="Y52" s="2"/>
      <c r="Z52" s="2"/>
      <c r="AA52" s="1"/>
      <c r="AB52" s="1"/>
      <c r="AC52" s="1"/>
      <c r="AD52" s="1"/>
    </row>
    <row r="53">
      <c r="A53" s="229"/>
      <c r="B53" s="5" t="s">
        <v>406</v>
      </c>
      <c r="C53" s="5" t="s">
        <v>638</v>
      </c>
      <c r="D53" s="5" t="s">
        <v>639</v>
      </c>
      <c r="E53" s="5" t="s">
        <v>640</v>
      </c>
      <c r="F53" s="5" t="s">
        <v>641</v>
      </c>
      <c r="G53" s="5" t="s">
        <v>638</v>
      </c>
      <c r="H53" s="5" t="s">
        <v>639</v>
      </c>
      <c r="I53" s="5" t="s">
        <v>640</v>
      </c>
      <c r="J53" s="5" t="s">
        <v>641</v>
      </c>
      <c r="K53" s="5" t="s">
        <v>638</v>
      </c>
      <c r="L53" s="5" t="s">
        <v>639</v>
      </c>
      <c r="M53" s="5" t="s">
        <v>640</v>
      </c>
      <c r="N53" s="5" t="s">
        <v>641</v>
      </c>
      <c r="O53" s="5" t="s">
        <v>642</v>
      </c>
      <c r="P53" s="5" t="s">
        <v>639</v>
      </c>
      <c r="Q53" s="5" t="s">
        <v>640</v>
      </c>
      <c r="R53" s="173" t="s">
        <v>641</v>
      </c>
      <c r="S53" s="5" t="s">
        <v>642</v>
      </c>
      <c r="T53" s="5" t="s">
        <v>639</v>
      </c>
      <c r="U53" s="5" t="s">
        <v>640</v>
      </c>
      <c r="V53" s="5" t="s">
        <v>641</v>
      </c>
      <c r="W53" s="2"/>
      <c r="X53" s="2"/>
      <c r="Y53" s="2"/>
      <c r="Z53" s="2"/>
      <c r="AA53" s="1"/>
      <c r="AB53" s="1"/>
      <c r="AC53" s="1"/>
      <c r="AD53" s="1"/>
    </row>
    <row r="54" customHeight="1" ht="39.0">
      <c r="A54" s="242" t="n">
        <v>44039.0</v>
      </c>
      <c r="B54" s="5" t="s">
        <v>90</v>
      </c>
      <c r="C54" s="49" t="s">
        <v>828</v>
      </c>
      <c r="D54" s="49" t="s">
        <v>829</v>
      </c>
      <c r="E54" s="49" t="s">
        <v>830</v>
      </c>
      <c r="F54" s="49" t="s">
        <v>831</v>
      </c>
      <c r="G54" s="50"/>
      <c r="H54" s="50"/>
      <c r="I54" s="50"/>
      <c r="J54" s="50"/>
      <c r="K54" s="40" t="s">
        <v>832</v>
      </c>
      <c r="L54" s="40" t="s">
        <v>833</v>
      </c>
      <c r="M54" s="1" t="s">
        <v>834</v>
      </c>
      <c r="N54" s="40"/>
      <c r="O54" s="12" t="s">
        <v>835</v>
      </c>
      <c r="P54" s="12" t="s">
        <v>836</v>
      </c>
      <c r="Q54" s="12" t="s">
        <v>836</v>
      </c>
      <c r="R54" s="243" t="s">
        <v>837</v>
      </c>
      <c r="S54" s="40"/>
      <c r="T54" s="40"/>
      <c r="U54" s="40"/>
      <c r="V54" s="40"/>
      <c r="W54" s="2"/>
      <c r="X54" s="2"/>
      <c r="Y54" s="2"/>
      <c r="Z54" s="2"/>
      <c r="AA54" s="1"/>
      <c r="AB54" s="1"/>
      <c r="AC54" s="1"/>
      <c r="AD54" s="1"/>
    </row>
    <row r="55" customHeight="1" ht="65.0">
      <c r="A55" s="242" t="n">
        <v>44040.0</v>
      </c>
      <c r="B55" s="5" t="s">
        <v>92</v>
      </c>
      <c r="C55" s="49" t="s">
        <v>838</v>
      </c>
      <c r="D55" s="49" t="s">
        <v>839</v>
      </c>
      <c r="E55" s="49" t="s">
        <v>840</v>
      </c>
      <c r="F55" s="49" t="s">
        <v>822</v>
      </c>
      <c r="G55" s="50"/>
      <c r="H55" s="50"/>
      <c r="I55" s="50"/>
      <c r="J55" s="50"/>
      <c r="K55" s="40" t="s">
        <v>841</v>
      </c>
      <c r="L55" s="40" t="s">
        <v>842</v>
      </c>
      <c r="M55" s="40" t="s">
        <v>843</v>
      </c>
      <c r="N55" s="40"/>
      <c r="O55" s="12" t="s">
        <v>844</v>
      </c>
      <c r="P55" s="12" t="s">
        <v>836</v>
      </c>
      <c r="Q55" s="12" t="s">
        <v>845</v>
      </c>
      <c r="R55" s="243" t="s">
        <v>846</v>
      </c>
      <c r="S55" s="40"/>
      <c r="T55" s="40"/>
      <c r="U55" s="40"/>
      <c r="V55" s="40"/>
      <c r="W55" s="2"/>
      <c r="X55" s="2"/>
      <c r="Y55" s="2"/>
      <c r="Z55" s="2"/>
      <c r="AA55" s="1"/>
      <c r="AB55" s="1"/>
      <c r="AC55" s="1"/>
      <c r="AD55" s="1"/>
    </row>
    <row r="56" customHeight="1" ht="39.0">
      <c r="A56" s="242" t="n">
        <v>44041.0</v>
      </c>
      <c r="B56" s="5" t="s">
        <v>94</v>
      </c>
      <c r="C56" s="49" t="s">
        <v>847</v>
      </c>
      <c r="D56" s="49" t="s">
        <v>848</v>
      </c>
      <c r="E56" s="49" t="s">
        <v>849</v>
      </c>
      <c r="F56" s="49" t="s">
        <v>850</v>
      </c>
      <c r="G56" s="50"/>
      <c r="H56" s="50"/>
      <c r="I56" s="50"/>
      <c r="J56" s="50"/>
      <c r="K56" s="40" t="s">
        <v>851</v>
      </c>
      <c r="L56" s="40" t="s">
        <v>852</v>
      </c>
      <c r="M56" s="40" t="s">
        <v>853</v>
      </c>
      <c r="N56" s="40"/>
      <c r="O56" s="12" t="s">
        <v>854</v>
      </c>
      <c r="P56" s="12" t="s">
        <v>855</v>
      </c>
      <c r="Q56" s="12" t="s">
        <v>856</v>
      </c>
      <c r="R56" s="243" t="s">
        <v>846</v>
      </c>
      <c r="S56" s="40"/>
      <c r="T56" s="40"/>
      <c r="U56" s="40"/>
      <c r="V56" s="40"/>
      <c r="W56" s="2"/>
      <c r="X56" s="2"/>
      <c r="Y56" s="2"/>
      <c r="Z56" s="2"/>
      <c r="AA56" s="1"/>
      <c r="AB56" s="1"/>
      <c r="AC56" s="1"/>
      <c r="AD56" s="1"/>
    </row>
    <row r="57" customHeight="1" ht="52.0">
      <c r="A57" s="242" t="n">
        <v>44042.0</v>
      </c>
      <c r="B57" s="5" t="s">
        <v>96</v>
      </c>
      <c r="C57" s="49" t="s">
        <v>857</v>
      </c>
      <c r="D57" s="49" t="s">
        <v>858</v>
      </c>
      <c r="E57" s="49" t="s">
        <v>859</v>
      </c>
      <c r="F57" s="49" t="s">
        <v>860</v>
      </c>
      <c r="G57" s="50"/>
      <c r="H57" s="50"/>
      <c r="I57" s="50"/>
      <c r="J57" s="50"/>
      <c r="K57" s="40" t="s">
        <v>861</v>
      </c>
      <c r="L57" s="50" t="s">
        <v>862</v>
      </c>
      <c r="M57" s="40" t="s">
        <v>863</v>
      </c>
      <c r="N57" s="40"/>
      <c r="O57" s="12" t="s">
        <v>864</v>
      </c>
      <c r="P57" s="12" t="s">
        <v>865</v>
      </c>
      <c r="Q57" s="12" t="s">
        <v>866</v>
      </c>
      <c r="R57" s="243" t="s">
        <v>737</v>
      </c>
      <c r="S57" s="40"/>
      <c r="T57" s="40"/>
      <c r="U57" s="40"/>
      <c r="V57" s="40"/>
      <c r="W57" s="2"/>
      <c r="X57" s="2"/>
      <c r="Y57" s="2"/>
      <c r="Z57" s="2"/>
      <c r="AA57" s="1"/>
      <c r="AB57" s="1"/>
      <c r="AC57" s="1"/>
      <c r="AD57" s="1"/>
    </row>
    <row r="58" customHeight="1" ht="52.0">
      <c r="A58" s="242" t="n">
        <v>44043.0</v>
      </c>
      <c r="B58" s="5" t="s">
        <v>98</v>
      </c>
      <c r="C58" s="49" t="s">
        <v>867</v>
      </c>
      <c r="D58" s="49" t="s">
        <v>868</v>
      </c>
      <c r="E58" s="49" t="s">
        <v>869</v>
      </c>
      <c r="F58" s="49" t="s">
        <v>870</v>
      </c>
      <c r="G58" s="50"/>
      <c r="H58" s="50"/>
      <c r="I58" s="50"/>
      <c r="J58" s="50"/>
      <c r="K58" s="40" t="s">
        <v>871</v>
      </c>
      <c r="L58" s="40" t="s">
        <v>872</v>
      </c>
      <c r="M58" s="40" t="s">
        <v>873</v>
      </c>
      <c r="N58" s="40"/>
      <c r="O58" s="12" t="s">
        <v>874</v>
      </c>
      <c r="P58" s="12" t="s">
        <v>875</v>
      </c>
      <c r="Q58" s="12" t="s">
        <v>876</v>
      </c>
      <c r="R58" s="243" t="s">
        <v>877</v>
      </c>
      <c r="S58" s="40"/>
      <c r="T58" s="40"/>
      <c r="U58" s="40"/>
      <c r="V58" s="40"/>
      <c r="W58" s="2"/>
      <c r="X58" s="2"/>
      <c r="Y58" s="2"/>
      <c r="Z58" s="2"/>
      <c r="AA58" s="1"/>
      <c r="AB58" s="1"/>
      <c r="AC58" s="1"/>
      <c r="AD58" s="1"/>
    </row>
    <row r="59" customHeight="1" ht="39.0">
      <c r="A59" s="242" t="n">
        <v>44044.0</v>
      </c>
      <c r="B59" s="5" t="s">
        <v>100</v>
      </c>
      <c r="C59" s="49" t="s">
        <v>878</v>
      </c>
      <c r="D59" s="49" t="s">
        <v>879</v>
      </c>
      <c r="E59" s="49" t="s">
        <v>880</v>
      </c>
      <c r="F59" s="49" t="s">
        <v>881</v>
      </c>
      <c r="G59" s="50"/>
      <c r="H59" s="50"/>
      <c r="I59" s="50"/>
      <c r="J59" s="50"/>
      <c r="K59" s="40" t="s">
        <v>882</v>
      </c>
      <c r="L59" s="40" t="s">
        <v>883</v>
      </c>
      <c r="M59" s="40" t="s">
        <v>884</v>
      </c>
      <c r="N59" s="40" t="s">
        <v>837</v>
      </c>
      <c r="O59" s="12" t="s">
        <v>885</v>
      </c>
      <c r="P59" s="12" t="s">
        <v>886</v>
      </c>
      <c r="Q59" s="13" t="s">
        <v>887</v>
      </c>
      <c r="R59" s="243" t="s">
        <v>888</v>
      </c>
      <c r="S59" s="40"/>
      <c r="T59" s="40"/>
      <c r="U59" s="40"/>
      <c r="V59" s="40"/>
      <c r="W59" s="2"/>
      <c r="X59" s="2"/>
      <c r="Y59" s="2"/>
      <c r="Z59" s="2"/>
      <c r="AA59" s="1"/>
      <c r="AB59" s="1"/>
      <c r="AC59" s="1"/>
      <c r="AD59" s="1"/>
    </row>
    <row r="60" customHeight="1" ht="26.0">
      <c r="A60" s="244" t="n">
        <v>44045.0</v>
      </c>
      <c r="B60" s="10" t="s">
        <v>101</v>
      </c>
      <c r="C60" s="188" t="s">
        <v>889</v>
      </c>
      <c r="D60" s="188" t="s">
        <v>890</v>
      </c>
      <c r="E60" s="188" t="s">
        <v>891</v>
      </c>
      <c r="F60" s="188" t="s">
        <v>892</v>
      </c>
      <c r="G60" s="191"/>
      <c r="H60" s="191"/>
      <c r="I60" s="191"/>
      <c r="J60" s="191"/>
      <c r="K60" s="46"/>
      <c r="L60" s="46"/>
      <c r="M60" s="46"/>
      <c r="N60" s="46"/>
      <c r="O60" s="197" t="s">
        <v>893</v>
      </c>
      <c r="P60" s="197" t="s">
        <v>894</v>
      </c>
      <c r="Q60" s="197" t="s">
        <v>895</v>
      </c>
      <c r="R60" s="245" t="s">
        <v>896</v>
      </c>
      <c r="S60" s="46"/>
      <c r="T60" s="46"/>
      <c r="U60" s="46"/>
      <c r="V60" s="46"/>
      <c r="W60" s="2"/>
      <c r="X60" s="2"/>
      <c r="Y60" s="2"/>
      <c r="Z60" s="2"/>
      <c r="AA60" s="1"/>
      <c r="AB60" s="1"/>
      <c r="AC60" s="1"/>
      <c r="AD60" s="1"/>
    </row>
    <row r="61" customHeight="1" ht="26.0">
      <c r="A61" s="15"/>
      <c r="B61" s="15"/>
      <c r="C61" s="202" t="s">
        <v>114</v>
      </c>
      <c r="D61" s="202"/>
      <c r="E61" s="202"/>
      <c r="F61" s="15"/>
      <c r="G61" s="203" t="s">
        <v>115</v>
      </c>
      <c r="H61" s="203"/>
      <c r="I61" s="203"/>
      <c r="J61" s="15"/>
      <c r="K61" s="202" t="s">
        <v>114</v>
      </c>
      <c r="L61" s="202"/>
      <c r="M61" s="202"/>
      <c r="N61" s="246" t="s">
        <v>897</v>
      </c>
      <c r="O61" s="202" t="s">
        <v>114</v>
      </c>
      <c r="P61" s="202"/>
      <c r="Q61" s="202"/>
      <c r="R61" s="246" t="s">
        <v>898</v>
      </c>
      <c r="S61" s="15"/>
      <c r="T61" s="15"/>
      <c r="U61" s="15"/>
      <c r="V61" s="15"/>
      <c r="W61" s="15"/>
      <c r="X61" s="15"/>
      <c r="Y61" s="15"/>
      <c r="Z61" s="15"/>
      <c r="AA61" s="5"/>
      <c r="AB61" s="5"/>
      <c r="AC61" s="5"/>
      <c r="AD61" s="5"/>
    </row>
    <row r="62">
      <c r="A62" s="15"/>
      <c r="B62" s="15"/>
      <c r="C62" s="15"/>
      <c r="D62" s="21" t="n">
        <v>4.0</v>
      </c>
      <c r="E62" s="15"/>
      <c r="F62" s="15"/>
      <c r="G62" s="15"/>
      <c r="H62" s="21" t="n">
        <v>-1.0</v>
      </c>
      <c r="I62" s="15"/>
      <c r="J62" s="15"/>
      <c r="K62" s="15"/>
      <c r="L62" s="21" t="n">
        <v>4.0</v>
      </c>
      <c r="M62" s="15"/>
      <c r="N62" s="15"/>
      <c r="O62" s="15"/>
      <c r="P62" s="21" t="n">
        <v>4.0</v>
      </c>
      <c r="Q62" s="15"/>
      <c r="R62" s="15"/>
      <c r="S62" s="15"/>
      <c r="T62" s="15"/>
      <c r="U62" s="15"/>
      <c r="V62" s="15"/>
      <c r="W62" s="15"/>
      <c r="X62" s="15"/>
      <c r="Y62" s="15"/>
      <c r="Z62" s="15"/>
      <c r="AA62" s="5"/>
      <c r="AB62" s="5"/>
      <c r="AC62" s="5"/>
      <c r="AD62" s="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5"/>
      <c r="AB63" s="5"/>
      <c r="AC63" s="5"/>
      <c r="AD63" s="5"/>
    </row>
    <row r="64">
      <c r="A64" s="40" t="s">
        <v>0</v>
      </c>
      <c r="B64" s="5" t="s">
        <v>102</v>
      </c>
      <c r="C64" s="40" t="s">
        <v>2</v>
      </c>
      <c r="D64" s="40"/>
      <c r="E64" s="40"/>
      <c r="F64" s="40"/>
      <c r="G64" s="40" t="s">
        <v>3</v>
      </c>
      <c r="H64" s="40"/>
      <c r="I64" s="40"/>
      <c r="J64" s="40"/>
      <c r="K64" s="40" t="s">
        <v>4</v>
      </c>
      <c r="L64" s="40"/>
      <c r="M64" s="40"/>
      <c r="N64" s="40"/>
      <c r="O64" s="40" t="s">
        <v>355</v>
      </c>
      <c r="P64" s="40"/>
      <c r="Q64" s="40"/>
      <c r="R64" s="40"/>
      <c r="S64" s="43" t="s">
        <v>103</v>
      </c>
      <c r="T64" s="43"/>
      <c r="U64" s="43"/>
      <c r="V64" s="43"/>
      <c r="W64" s="40" t="s">
        <v>36</v>
      </c>
      <c r="X64" s="40"/>
      <c r="Y64" s="40"/>
      <c r="Z64" s="40"/>
      <c r="AA64" s="40"/>
      <c r="AB64" s="40"/>
      <c r="AC64" s="40"/>
      <c r="AD64" s="40"/>
    </row>
    <row r="65">
      <c r="A65" s="40"/>
      <c r="B65" s="5" t="s">
        <v>634</v>
      </c>
      <c r="C65" s="40" t="s">
        <v>899</v>
      </c>
      <c r="D65" s="40"/>
      <c r="E65" s="40"/>
      <c r="F65" s="40"/>
      <c r="G65" s="40" t="s">
        <v>900</v>
      </c>
      <c r="H65" s="40"/>
      <c r="I65" s="40"/>
      <c r="J65" s="40"/>
      <c r="K65" s="40" t="s">
        <v>901</v>
      </c>
      <c r="L65" s="40"/>
      <c r="M65" s="40"/>
      <c r="N65" s="40"/>
      <c r="O65" s="40" t="s">
        <v>902</v>
      </c>
      <c r="P65" s="40"/>
      <c r="Q65" s="40"/>
      <c r="R65" s="40"/>
      <c r="S65" s="40"/>
      <c r="T65" s="40" t="s">
        <v>903</v>
      </c>
      <c r="U65" s="40"/>
      <c r="V65" s="40"/>
      <c r="W65" s="5"/>
      <c r="X65" s="5"/>
      <c r="Y65" s="5"/>
      <c r="Z65" s="5"/>
      <c r="AA65" s="5"/>
      <c r="AB65" s="5"/>
      <c r="AC65" s="5"/>
      <c r="AD65" s="5"/>
    </row>
    <row r="66">
      <c r="A66" s="40"/>
      <c r="B66" s="5" t="s">
        <v>406</v>
      </c>
      <c r="C66" s="5" t="s">
        <v>638</v>
      </c>
      <c r="D66" s="5" t="s">
        <v>639</v>
      </c>
      <c r="E66" s="5" t="s">
        <v>640</v>
      </c>
      <c r="F66" s="5" t="s">
        <v>641</v>
      </c>
      <c r="G66" s="5" t="s">
        <v>638</v>
      </c>
      <c r="H66" s="5" t="s">
        <v>639</v>
      </c>
      <c r="I66" s="5" t="s">
        <v>640</v>
      </c>
      <c r="J66" s="5" t="s">
        <v>641</v>
      </c>
      <c r="K66" s="5" t="s">
        <v>638</v>
      </c>
      <c r="L66" s="5" t="s">
        <v>639</v>
      </c>
      <c r="M66" s="5" t="s">
        <v>640</v>
      </c>
      <c r="N66" s="5" t="s">
        <v>641</v>
      </c>
      <c r="O66" s="5" t="s">
        <v>638</v>
      </c>
      <c r="P66" s="5" t="s">
        <v>639</v>
      </c>
      <c r="Q66" s="5" t="s">
        <v>640</v>
      </c>
      <c r="R66" s="5" t="s">
        <v>641</v>
      </c>
      <c r="S66" s="5" t="s">
        <v>642</v>
      </c>
      <c r="T66" s="5" t="s">
        <v>639</v>
      </c>
      <c r="U66" s="5" t="s">
        <v>640</v>
      </c>
      <c r="V66" s="5" t="s">
        <v>641</v>
      </c>
      <c r="W66" s="5" t="s">
        <v>642</v>
      </c>
      <c r="X66" s="5" t="s">
        <v>639</v>
      </c>
      <c r="Y66" s="5" t="s">
        <v>640</v>
      </c>
      <c r="Z66" s="5" t="s">
        <v>641</v>
      </c>
      <c r="AA66" s="5"/>
      <c r="AB66" s="5"/>
      <c r="AC66" s="5"/>
      <c r="AD66" s="5"/>
    </row>
    <row r="67" customHeight="1" ht="52.0">
      <c r="A67" s="17" t="n">
        <v>44046.0</v>
      </c>
      <c r="B67" s="1" t="s">
        <v>90</v>
      </c>
      <c r="C67" s="178" t="s">
        <v>904</v>
      </c>
      <c r="D67" s="49" t="s">
        <v>905</v>
      </c>
      <c r="E67" s="49" t="s">
        <v>906</v>
      </c>
      <c r="F67" s="49" t="s">
        <v>907</v>
      </c>
      <c r="G67" s="49" t="s">
        <v>908</v>
      </c>
      <c r="H67" s="49" t="s">
        <v>909</v>
      </c>
      <c r="I67" s="49" t="s">
        <v>910</v>
      </c>
      <c r="J67" s="49" t="s">
        <v>733</v>
      </c>
      <c r="K67" s="49" t="s">
        <v>911</v>
      </c>
      <c r="L67" s="49" t="s">
        <v>912</v>
      </c>
      <c r="M67" s="12" t="s">
        <v>913</v>
      </c>
      <c r="N67" s="40"/>
      <c r="O67" s="247" t="s">
        <v>904</v>
      </c>
      <c r="P67" s="248" t="s">
        <v>914</v>
      </c>
      <c r="Q67" s="248" t="s">
        <v>915</v>
      </c>
      <c r="R67" s="248" t="s">
        <v>916</v>
      </c>
      <c r="S67" s="49" t="s">
        <v>917</v>
      </c>
      <c r="T67" s="49" t="s">
        <v>918</v>
      </c>
      <c r="U67" s="49" t="s">
        <v>919</v>
      </c>
      <c r="V67" s="49" t="s">
        <v>737</v>
      </c>
      <c r="W67" s="5"/>
      <c r="X67" s="5"/>
      <c r="Y67" s="5"/>
      <c r="Z67" s="5"/>
      <c r="AA67" s="5"/>
      <c r="AB67" s="5"/>
      <c r="AC67" s="5"/>
      <c r="AD67" s="5"/>
    </row>
    <row r="68" customHeight="1" ht="39.0">
      <c r="A68" s="17" t="n">
        <v>44047.0</v>
      </c>
      <c r="B68" s="1" t="s">
        <v>92</v>
      </c>
      <c r="C68" s="49" t="s">
        <v>920</v>
      </c>
      <c r="D68" s="49" t="s">
        <v>921</v>
      </c>
      <c r="E68" s="49" t="s">
        <v>922</v>
      </c>
      <c r="F68" s="49" t="s">
        <v>923</v>
      </c>
      <c r="G68" s="49" t="s">
        <v>908</v>
      </c>
      <c r="H68" s="49" t="s">
        <v>924</v>
      </c>
      <c r="I68" s="49" t="s">
        <v>925</v>
      </c>
      <c r="J68" s="49" t="s">
        <v>733</v>
      </c>
      <c r="K68" s="49" t="s">
        <v>926</v>
      </c>
      <c r="L68" s="49" t="s">
        <v>927</v>
      </c>
      <c r="M68" s="49" t="s">
        <v>928</v>
      </c>
      <c r="N68" s="40"/>
      <c r="O68" s="247" t="s">
        <v>904</v>
      </c>
      <c r="P68" s="249" t="s">
        <v>929</v>
      </c>
      <c r="Q68" s="249" t="s">
        <v>930</v>
      </c>
      <c r="R68" s="249" t="s">
        <v>754</v>
      </c>
      <c r="S68" s="49" t="s">
        <v>931</v>
      </c>
      <c r="T68" s="49" t="s">
        <v>932</v>
      </c>
      <c r="U68" s="49" t="s">
        <v>933</v>
      </c>
      <c r="V68" s="49" t="s">
        <v>837</v>
      </c>
      <c r="W68" s="12" t="s">
        <v>934</v>
      </c>
      <c r="X68" s="12" t="s">
        <v>935</v>
      </c>
      <c r="Y68" s="12" t="s">
        <v>936</v>
      </c>
      <c r="Z68" s="12" t="s">
        <v>937</v>
      </c>
      <c r="AA68" s="12"/>
      <c r="AB68" s="12"/>
      <c r="AC68" s="12"/>
      <c r="AD68" s="12"/>
    </row>
    <row r="69" customHeight="1" ht="26.0">
      <c r="A69" s="17" t="n">
        <v>44048.0</v>
      </c>
      <c r="B69" s="1" t="s">
        <v>94</v>
      </c>
      <c r="C69" s="49" t="s">
        <v>938</v>
      </c>
      <c r="D69" s="49" t="s">
        <v>939</v>
      </c>
      <c r="E69" s="49" t="s">
        <v>940</v>
      </c>
      <c r="F69" s="49" t="s">
        <v>923</v>
      </c>
      <c r="G69" s="49" t="s">
        <v>941</v>
      </c>
      <c r="H69" s="49" t="s">
        <v>942</v>
      </c>
      <c r="I69" s="49" t="s">
        <v>942</v>
      </c>
      <c r="J69" s="49" t="s">
        <v>943</v>
      </c>
      <c r="K69" s="49" t="s">
        <v>944</v>
      </c>
      <c r="L69" s="49" t="s">
        <v>945</v>
      </c>
      <c r="M69" s="50" t="s">
        <v>946</v>
      </c>
      <c r="N69" s="49" t="s">
        <v>947</v>
      </c>
      <c r="O69" s="250" t="s">
        <v>904</v>
      </c>
      <c r="P69" s="250" t="s">
        <v>904</v>
      </c>
      <c r="Q69" s="249" t="s">
        <v>948</v>
      </c>
      <c r="R69" s="249" t="s">
        <v>949</v>
      </c>
      <c r="S69" s="49" t="s">
        <v>950</v>
      </c>
      <c r="T69" s="49" t="s">
        <v>951</v>
      </c>
      <c r="U69" s="49" t="s">
        <v>952</v>
      </c>
      <c r="V69" s="49" t="s">
        <v>953</v>
      </c>
      <c r="W69" s="12" t="s">
        <v>954</v>
      </c>
      <c r="X69" s="12" t="s">
        <v>955</v>
      </c>
      <c r="Y69" s="12" t="s">
        <v>956</v>
      </c>
      <c r="Z69" s="12" t="s">
        <v>837</v>
      </c>
      <c r="AA69" s="12"/>
      <c r="AB69" s="12"/>
      <c r="AC69" s="12"/>
      <c r="AD69" s="12"/>
    </row>
    <row r="70" customHeight="1" ht="78.0">
      <c r="A70" s="17" t="n">
        <v>44049.0</v>
      </c>
      <c r="B70" s="1" t="s">
        <v>96</v>
      </c>
      <c r="C70" s="49" t="s">
        <v>920</v>
      </c>
      <c r="D70" s="49" t="s">
        <v>957</v>
      </c>
      <c r="E70" s="49" t="s">
        <v>958</v>
      </c>
      <c r="F70" s="49" t="s">
        <v>959</v>
      </c>
      <c r="G70" s="49" t="s">
        <v>941</v>
      </c>
      <c r="H70" s="49" t="s">
        <v>960</v>
      </c>
      <c r="I70" s="49" t="s">
        <v>961</v>
      </c>
      <c r="J70" s="49" t="s">
        <v>962</v>
      </c>
      <c r="K70" s="49" t="s">
        <v>963</v>
      </c>
      <c r="L70" s="49" t="s">
        <v>964</v>
      </c>
      <c r="M70" s="49" t="s">
        <v>965</v>
      </c>
      <c r="N70" s="49"/>
      <c r="O70" s="250" t="s">
        <v>904</v>
      </c>
      <c r="P70" s="249" t="s">
        <v>966</v>
      </c>
      <c r="Q70" s="249" t="s">
        <v>967</v>
      </c>
      <c r="R70" s="249" t="s">
        <v>968</v>
      </c>
      <c r="S70" s="49" t="s">
        <v>969</v>
      </c>
      <c r="T70" s="49" t="s">
        <v>970</v>
      </c>
      <c r="U70" s="49" t="s">
        <v>970</v>
      </c>
      <c r="V70" s="49" t="s">
        <v>971</v>
      </c>
      <c r="W70" s="12" t="s">
        <v>972</v>
      </c>
      <c r="X70" s="12" t="s">
        <v>973</v>
      </c>
      <c r="Y70" s="12" t="s">
        <v>974</v>
      </c>
      <c r="Z70" s="12" t="s">
        <v>837</v>
      </c>
      <c r="AA70" s="12"/>
      <c r="AB70" s="12"/>
      <c r="AC70" s="12"/>
      <c r="AD70" s="12"/>
    </row>
    <row r="71" customHeight="1" ht="52.0">
      <c r="A71" s="17" t="n">
        <v>44050.0</v>
      </c>
      <c r="B71" s="1" t="s">
        <v>98</v>
      </c>
      <c r="C71" s="49" t="s">
        <v>975</v>
      </c>
      <c r="D71" s="49" t="s">
        <v>976</v>
      </c>
      <c r="E71" s="49" t="s">
        <v>977</v>
      </c>
      <c r="F71" s="49" t="s">
        <v>907</v>
      </c>
      <c r="G71" s="49" t="s">
        <v>941</v>
      </c>
      <c r="H71" s="49" t="s">
        <v>978</v>
      </c>
      <c r="I71" s="49" t="s">
        <v>979</v>
      </c>
      <c r="J71" s="49" t="s">
        <v>980</v>
      </c>
      <c r="K71" s="25" t="s">
        <v>981</v>
      </c>
      <c r="L71" s="49" t="s">
        <v>982</v>
      </c>
      <c r="M71" s="49" t="s">
        <v>983</v>
      </c>
      <c r="N71" s="49" t="s">
        <v>984</v>
      </c>
      <c r="O71" s="249" t="s">
        <v>985</v>
      </c>
      <c r="P71" s="249" t="s">
        <v>986</v>
      </c>
      <c r="Q71" s="249" t="s">
        <v>987</v>
      </c>
      <c r="R71" s="249" t="s">
        <v>947</v>
      </c>
      <c r="S71" s="49" t="s">
        <v>988</v>
      </c>
      <c r="T71" s="49" t="s">
        <v>989</v>
      </c>
      <c r="U71" s="49" t="s">
        <v>990</v>
      </c>
      <c r="V71" s="49" t="s">
        <v>991</v>
      </c>
      <c r="W71" s="12" t="s">
        <v>972</v>
      </c>
      <c r="X71" s="12" t="s">
        <v>992</v>
      </c>
      <c r="Y71" s="12" t="s">
        <v>993</v>
      </c>
      <c r="Z71" s="12" t="s">
        <v>837</v>
      </c>
      <c r="AA71" s="12"/>
      <c r="AB71" s="12"/>
      <c r="AC71" s="12"/>
      <c r="AD71" s="12"/>
    </row>
    <row r="72" customHeight="1" ht="52.0">
      <c r="A72" s="17" t="n">
        <v>44051.0</v>
      </c>
      <c r="B72" s="1" t="s">
        <v>100</v>
      </c>
      <c r="C72" s="49" t="s">
        <v>994</v>
      </c>
      <c r="D72" s="49" t="s">
        <v>995</v>
      </c>
      <c r="E72" s="49" t="s">
        <v>996</v>
      </c>
      <c r="F72" s="49" t="s">
        <v>907</v>
      </c>
      <c r="G72" s="49" t="s">
        <v>941</v>
      </c>
      <c r="H72" s="49" t="s">
        <v>997</v>
      </c>
      <c r="I72" s="49" t="s">
        <v>998</v>
      </c>
      <c r="J72" s="49" t="s">
        <v>980</v>
      </c>
      <c r="K72" s="12" t="s">
        <v>999</v>
      </c>
      <c r="L72" s="50" t="s">
        <v>1000</v>
      </c>
      <c r="M72" s="49" t="s">
        <v>1001</v>
      </c>
      <c r="N72" s="40"/>
      <c r="O72" s="250" t="s">
        <v>1002</v>
      </c>
      <c r="P72" s="249" t="s">
        <v>1003</v>
      </c>
      <c r="Q72" s="249" t="s">
        <v>1004</v>
      </c>
      <c r="R72" s="249" t="s">
        <v>1005</v>
      </c>
      <c r="S72" s="49" t="s">
        <v>988</v>
      </c>
      <c r="T72" s="49" t="s">
        <v>855</v>
      </c>
      <c r="U72" s="49" t="s">
        <v>1006</v>
      </c>
      <c r="V72" s="49" t="s">
        <v>1007</v>
      </c>
      <c r="W72" s="12" t="s">
        <v>972</v>
      </c>
      <c r="X72" s="12" t="s">
        <v>1008</v>
      </c>
      <c r="Y72" s="12" t="s">
        <v>1009</v>
      </c>
      <c r="Z72" s="12" t="s">
        <v>660</v>
      </c>
      <c r="AA72" s="12"/>
      <c r="AB72" s="12"/>
      <c r="AC72" s="12"/>
      <c r="AD72" s="12"/>
    </row>
    <row r="73" customHeight="1" ht="39.0">
      <c r="A73" s="17" t="n">
        <v>44052.0</v>
      </c>
      <c r="B73" s="1" t="s">
        <v>101</v>
      </c>
      <c r="C73" s="49" t="s">
        <v>1010</v>
      </c>
      <c r="D73" s="49" t="s">
        <v>1011</v>
      </c>
      <c r="E73" s="49" t="s">
        <v>1012</v>
      </c>
      <c r="F73" s="49" t="s">
        <v>907</v>
      </c>
      <c r="G73" s="49" t="s">
        <v>941</v>
      </c>
      <c r="H73" s="49" t="s">
        <v>1013</v>
      </c>
      <c r="I73" s="49" t="s">
        <v>1014</v>
      </c>
      <c r="J73" s="49" t="s">
        <v>1015</v>
      </c>
      <c r="K73" s="49" t="s">
        <v>1016</v>
      </c>
      <c r="L73" s="12" t="s">
        <v>1017</v>
      </c>
      <c r="M73" s="49" t="s">
        <v>1018</v>
      </c>
      <c r="N73" s="49" t="s">
        <v>646</v>
      </c>
      <c r="O73" s="49" t="s">
        <v>1019</v>
      </c>
      <c r="P73" s="249" t="s">
        <v>1020</v>
      </c>
      <c r="Q73" s="249" t="s">
        <v>1021</v>
      </c>
      <c r="R73" s="249" t="s">
        <v>1022</v>
      </c>
      <c r="S73" s="49" t="s">
        <v>1023</v>
      </c>
      <c r="T73" s="49" t="s">
        <v>989</v>
      </c>
      <c r="U73" s="49" t="s">
        <v>1024</v>
      </c>
      <c r="V73" s="49" t="s">
        <v>1025</v>
      </c>
      <c r="W73" s="5"/>
      <c r="X73" s="5"/>
      <c r="Y73" s="5"/>
      <c r="Z73" s="5"/>
      <c r="AA73" s="5"/>
      <c r="AB73" s="5"/>
      <c r="AC73" s="5"/>
      <c r="AD73" s="5"/>
    </row>
    <row r="74" customHeight="1" ht="26.0">
      <c r="A74" s="15"/>
      <c r="B74" s="15"/>
      <c r="C74" s="202" t="s">
        <v>114</v>
      </c>
      <c r="D74" s="202"/>
      <c r="E74" s="202"/>
      <c r="F74" s="2"/>
      <c r="G74" s="202" t="s">
        <v>114</v>
      </c>
      <c r="H74" s="202"/>
      <c r="I74" s="202"/>
      <c r="J74" s="15"/>
      <c r="K74" s="202" t="s">
        <v>114</v>
      </c>
      <c r="L74" s="202"/>
      <c r="M74" s="202"/>
      <c r="N74" s="15"/>
      <c r="O74" s="203" t="s">
        <v>115</v>
      </c>
      <c r="P74" s="203"/>
      <c r="Q74" s="203"/>
      <c r="R74" s="15" t="s">
        <v>1026</v>
      </c>
      <c r="S74" s="202" t="s">
        <v>114</v>
      </c>
      <c r="T74" s="202"/>
      <c r="U74" s="202"/>
      <c r="V74" s="15"/>
      <c r="W74" s="202" t="s">
        <v>114</v>
      </c>
      <c r="X74" s="202"/>
      <c r="Y74" s="202"/>
      <c r="Z74" s="15" t="s">
        <v>1027</v>
      </c>
      <c r="AA74" s="5"/>
      <c r="AB74" s="5"/>
      <c r="AC74" s="5"/>
      <c r="AD74" s="5"/>
    </row>
    <row r="75">
      <c r="A75" s="15" t="s">
        <v>198</v>
      </c>
      <c r="B75" s="15"/>
      <c r="C75" s="15"/>
      <c r="D75" s="21" t="n">
        <v>4.0</v>
      </c>
      <c r="E75" s="15"/>
      <c r="F75" s="15"/>
      <c r="G75" s="2"/>
      <c r="H75" s="22" t="n">
        <v>4.0</v>
      </c>
      <c r="I75" s="2"/>
      <c r="J75" s="15"/>
      <c r="K75" s="15"/>
      <c r="L75" s="21" t="n">
        <v>4.0</v>
      </c>
      <c r="M75" s="15"/>
      <c r="N75" s="15"/>
      <c r="O75" s="15"/>
      <c r="P75" s="21" t="n">
        <v>-0.2</v>
      </c>
      <c r="Q75" s="15"/>
      <c r="R75" s="15"/>
      <c r="S75" s="15"/>
      <c r="T75" s="21" t="n">
        <v>4.0</v>
      </c>
      <c r="U75" s="15"/>
      <c r="V75" s="15"/>
      <c r="W75" s="15"/>
      <c r="X75" s="21" t="n">
        <v>4.0</v>
      </c>
      <c r="Y75" s="15"/>
      <c r="Z75" s="15"/>
      <c r="AA75" s="5"/>
      <c r="AB75" s="5"/>
      <c r="AC75" s="5"/>
      <c r="AD75" s="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5"/>
      <c r="AB76" s="5"/>
      <c r="AC76" s="5"/>
      <c r="AD76" s="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5"/>
      <c r="AB77" s="5"/>
      <c r="AC77" s="5"/>
      <c r="AD77" s="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5"/>
      <c r="AB78" s="5"/>
      <c r="AC78" s="5"/>
      <c r="AD78" s="5"/>
    </row>
    <row r="79">
      <c r="A79" s="40" t="s">
        <v>0</v>
      </c>
      <c r="B79" s="5" t="s">
        <v>102</v>
      </c>
      <c r="C79" s="40" t="s">
        <v>2</v>
      </c>
      <c r="D79" s="40"/>
      <c r="E79" s="40"/>
      <c r="F79" s="40"/>
      <c r="G79" s="40" t="s">
        <v>4</v>
      </c>
      <c r="H79" s="40"/>
      <c r="I79" s="40"/>
      <c r="J79" s="40"/>
      <c r="K79" s="39" t="s">
        <v>32</v>
      </c>
      <c r="L79" s="39"/>
      <c r="M79" s="39"/>
      <c r="N79" s="39"/>
      <c r="O79" s="40" t="s">
        <v>355</v>
      </c>
      <c r="P79" s="40"/>
      <c r="Q79" s="40"/>
      <c r="R79" s="40"/>
      <c r="S79" s="43" t="s">
        <v>3</v>
      </c>
      <c r="T79" s="43"/>
      <c r="U79" s="43"/>
      <c r="V79" s="43"/>
      <c r="W79" s="40" t="s">
        <v>103</v>
      </c>
      <c r="X79" s="40"/>
      <c r="Y79" s="40"/>
      <c r="Z79" s="40"/>
      <c r="AA79" s="40" t="s">
        <v>36</v>
      </c>
      <c r="AB79" s="40"/>
      <c r="AC79" s="40"/>
      <c r="AD79" s="40"/>
    </row>
    <row r="80">
      <c r="A80" s="40"/>
      <c r="B80" s="5" t="s">
        <v>634</v>
      </c>
      <c r="C80" s="40" t="s">
        <v>1028</v>
      </c>
      <c r="D80" s="40"/>
      <c r="E80" s="40"/>
      <c r="F80" s="40"/>
      <c r="G80" s="40" t="s">
        <v>1029</v>
      </c>
      <c r="H80" s="40"/>
      <c r="I80" s="40"/>
      <c r="J80" s="40"/>
      <c r="K80" s="40" t="s">
        <v>1030</v>
      </c>
      <c r="L80" s="40"/>
      <c r="M80" s="40"/>
      <c r="N80" s="40"/>
      <c r="O80" s="40" t="s">
        <v>1031</v>
      </c>
      <c r="P80" s="40"/>
      <c r="Q80" s="40"/>
      <c r="R80" s="40"/>
      <c r="S80" s="40" t="s">
        <v>1032</v>
      </c>
      <c r="T80" s="40"/>
      <c r="U80" s="40"/>
      <c r="V80" s="40"/>
      <c r="W80" s="5" t="s">
        <v>1033</v>
      </c>
      <c r="X80" s="5"/>
      <c r="Y80" s="5"/>
      <c r="Z80" s="5"/>
      <c r="AA80" s="5" t="s">
        <v>1034</v>
      </c>
      <c r="AB80" s="5"/>
      <c r="AC80" s="5"/>
      <c r="AD80" s="5"/>
    </row>
    <row r="81">
      <c r="A81" s="40"/>
      <c r="B81" s="5" t="s">
        <v>406</v>
      </c>
      <c r="C81" s="5" t="s">
        <v>638</v>
      </c>
      <c r="D81" s="5" t="s">
        <v>639</v>
      </c>
      <c r="E81" s="5" t="s">
        <v>640</v>
      </c>
      <c r="F81" s="5" t="s">
        <v>641</v>
      </c>
      <c r="G81" s="5" t="s">
        <v>638</v>
      </c>
      <c r="H81" s="5" t="s">
        <v>639</v>
      </c>
      <c r="I81" s="5" t="s">
        <v>640</v>
      </c>
      <c r="J81" s="5" t="s">
        <v>641</v>
      </c>
      <c r="K81" s="5" t="s">
        <v>638</v>
      </c>
      <c r="L81" s="5" t="s">
        <v>639</v>
      </c>
      <c r="M81" s="5" t="s">
        <v>640</v>
      </c>
      <c r="N81" s="5" t="s">
        <v>641</v>
      </c>
      <c r="O81" s="5" t="s">
        <v>638</v>
      </c>
      <c r="P81" s="5" t="s">
        <v>639</v>
      </c>
      <c r="Q81" s="5" t="s">
        <v>640</v>
      </c>
      <c r="R81" s="5" t="s">
        <v>641</v>
      </c>
      <c r="S81" s="5" t="s">
        <v>642</v>
      </c>
      <c r="T81" s="5" t="s">
        <v>639</v>
      </c>
      <c r="U81" s="5" t="s">
        <v>640</v>
      </c>
      <c r="V81" s="5" t="s">
        <v>641</v>
      </c>
      <c r="W81" s="5" t="s">
        <v>642</v>
      </c>
      <c r="X81" s="5" t="s">
        <v>639</v>
      </c>
      <c r="Y81" s="5" t="s">
        <v>640</v>
      </c>
      <c r="Z81" s="5" t="s">
        <v>641</v>
      </c>
      <c r="AA81" s="5" t="s">
        <v>642</v>
      </c>
      <c r="AB81" s="5"/>
      <c r="AC81" s="5"/>
      <c r="AD81" s="5"/>
    </row>
    <row r="82" customHeight="1" ht="52.0">
      <c r="A82" s="3" t="n">
        <v>44053.0</v>
      </c>
      <c r="B82" s="1" t="s">
        <v>90</v>
      </c>
      <c r="C82" s="49" t="s">
        <v>920</v>
      </c>
      <c r="D82" s="49" t="s">
        <v>1035</v>
      </c>
      <c r="E82" s="49" t="s">
        <v>1035</v>
      </c>
      <c r="F82" s="49" t="s">
        <v>907</v>
      </c>
      <c r="G82" s="40" t="s">
        <v>1036</v>
      </c>
      <c r="H82" s="40" t="s">
        <v>1037</v>
      </c>
      <c r="I82" s="1" t="s">
        <v>1038</v>
      </c>
      <c r="J82" s="40" t="s">
        <v>1039</v>
      </c>
      <c r="K82" s="26" t="s">
        <v>1040</v>
      </c>
      <c r="L82" s="2"/>
      <c r="M82" s="2"/>
      <c r="N82" s="2"/>
      <c r="O82" s="248" t="s">
        <v>758</v>
      </c>
      <c r="P82" s="248" t="s">
        <v>1041</v>
      </c>
      <c r="Q82" s="248" t="s">
        <v>1042</v>
      </c>
      <c r="R82" s="247" t="s">
        <v>1043</v>
      </c>
      <c r="S82" s="49" t="s">
        <v>908</v>
      </c>
      <c r="T82" s="50" t="s">
        <v>1044</v>
      </c>
      <c r="U82" s="49" t="s">
        <v>1045</v>
      </c>
      <c r="V82" s="49" t="s">
        <v>1046</v>
      </c>
      <c r="W82" s="12" t="s">
        <v>1047</v>
      </c>
      <c r="X82" s="12" t="s">
        <v>989</v>
      </c>
      <c r="Y82" s="12" t="s">
        <v>1048</v>
      </c>
      <c r="Z82" s="12" t="s">
        <v>1049</v>
      </c>
      <c r="AA82" s="5"/>
      <c r="AB82" s="5"/>
      <c r="AC82" s="5"/>
      <c r="AD82" s="5"/>
    </row>
    <row r="83" customHeight="1" ht="52.0">
      <c r="A83" s="3" t="n">
        <v>44054.0</v>
      </c>
      <c r="B83" s="1" t="s">
        <v>92</v>
      </c>
      <c r="C83" s="49" t="s">
        <v>920</v>
      </c>
      <c r="D83" s="49" t="s">
        <v>1050</v>
      </c>
      <c r="E83" s="49" t="s">
        <v>1051</v>
      </c>
      <c r="F83" s="49" t="s">
        <v>907</v>
      </c>
      <c r="G83" s="40" t="s">
        <v>1052</v>
      </c>
      <c r="H83" s="40" t="s">
        <v>1053</v>
      </c>
      <c r="I83" s="40" t="s">
        <v>1054</v>
      </c>
      <c r="J83" s="40" t="s">
        <v>837</v>
      </c>
      <c r="K83" s="50" t="s">
        <v>1055</v>
      </c>
      <c r="L83" s="40"/>
      <c r="M83" s="40"/>
      <c r="N83" s="40"/>
      <c r="O83" s="247" t="s">
        <v>904</v>
      </c>
      <c r="P83" s="249" t="s">
        <v>1056</v>
      </c>
      <c r="Q83" s="249" t="s">
        <v>1057</v>
      </c>
      <c r="R83" s="249" t="s">
        <v>1058</v>
      </c>
      <c r="S83" s="49" t="s">
        <v>908</v>
      </c>
      <c r="T83" s="49" t="s">
        <v>1059</v>
      </c>
      <c r="U83" s="49" t="s">
        <v>1060</v>
      </c>
      <c r="V83" s="49" t="s">
        <v>1061</v>
      </c>
      <c r="W83" s="12" t="s">
        <v>1062</v>
      </c>
      <c r="X83" s="12" t="s">
        <v>1063</v>
      </c>
      <c r="Y83" s="12" t="s">
        <v>1064</v>
      </c>
      <c r="Z83" s="12" t="s">
        <v>1065</v>
      </c>
      <c r="AA83" s="98" t="s">
        <v>1066</v>
      </c>
      <c r="AB83" s="98" t="s">
        <v>1067</v>
      </c>
      <c r="AC83" s="98" t="s">
        <v>1068</v>
      </c>
      <c r="AD83" s="98" t="s">
        <v>837</v>
      </c>
    </row>
    <row r="84" customHeight="1" ht="39.0">
      <c r="A84" s="3" t="n">
        <v>44055.0</v>
      </c>
      <c r="B84" s="1" t="s">
        <v>94</v>
      </c>
      <c r="C84" s="49" t="s">
        <v>707</v>
      </c>
      <c r="D84" s="49" t="s">
        <v>1069</v>
      </c>
      <c r="E84" s="49" t="s">
        <v>1070</v>
      </c>
      <c r="F84" s="25" t="s">
        <v>907</v>
      </c>
      <c r="G84" s="40" t="s">
        <v>1071</v>
      </c>
      <c r="H84" s="40" t="s">
        <v>1072</v>
      </c>
      <c r="I84" s="40" t="s">
        <v>1073</v>
      </c>
      <c r="J84" s="40" t="s">
        <v>1039</v>
      </c>
      <c r="K84" s="49" t="s">
        <v>1074</v>
      </c>
      <c r="L84" s="40"/>
      <c r="M84" s="40"/>
      <c r="N84" s="40"/>
      <c r="O84" s="250" t="s">
        <v>904</v>
      </c>
      <c r="P84" s="249" t="s">
        <v>1075</v>
      </c>
      <c r="Q84" s="250" t="s">
        <v>1076</v>
      </c>
      <c r="R84" s="249" t="s">
        <v>1077</v>
      </c>
      <c r="S84" s="49" t="s">
        <v>908</v>
      </c>
      <c r="T84" s="49" t="s">
        <v>1078</v>
      </c>
      <c r="U84" s="49" t="s">
        <v>1079</v>
      </c>
      <c r="V84" s="49" t="s">
        <v>1080</v>
      </c>
      <c r="W84" s="5" t="s">
        <v>1081</v>
      </c>
      <c r="X84" s="5" t="s">
        <v>918</v>
      </c>
      <c r="Y84" s="5" t="s">
        <v>1082</v>
      </c>
      <c r="Z84" s="5" t="s">
        <v>1083</v>
      </c>
      <c r="AA84" s="98" t="s">
        <v>1084</v>
      </c>
      <c r="AB84" s="98" t="s">
        <v>1085</v>
      </c>
      <c r="AC84" s="103" t="s">
        <v>1086</v>
      </c>
      <c r="AD84" s="98" t="s">
        <v>646</v>
      </c>
    </row>
    <row r="85" customHeight="1" ht="52.0">
      <c r="A85" s="3" t="n">
        <v>44056.0</v>
      </c>
      <c r="B85" s="1" t="s">
        <v>96</v>
      </c>
      <c r="C85" s="40" t="s">
        <v>1087</v>
      </c>
      <c r="D85" s="40" t="s">
        <v>1088</v>
      </c>
      <c r="E85" s="40" t="s">
        <v>1089</v>
      </c>
      <c r="F85" s="40" t="s">
        <v>907</v>
      </c>
      <c r="G85" s="1" t="s">
        <v>677</v>
      </c>
      <c r="H85" s="1" t="s">
        <v>677</v>
      </c>
      <c r="I85" s="1" t="s">
        <v>677</v>
      </c>
      <c r="J85" s="40"/>
      <c r="K85" s="40"/>
      <c r="L85" s="40"/>
      <c r="M85" s="40"/>
      <c r="N85" s="40"/>
      <c r="O85" s="250" t="s">
        <v>904</v>
      </c>
      <c r="P85" s="249" t="s">
        <v>1090</v>
      </c>
      <c r="Q85" s="249" t="s">
        <v>1091</v>
      </c>
      <c r="R85" s="250" t="s">
        <v>1092</v>
      </c>
      <c r="S85" s="49" t="s">
        <v>908</v>
      </c>
      <c r="T85" s="49" t="s">
        <v>1078</v>
      </c>
      <c r="U85" s="49" t="s">
        <v>1093</v>
      </c>
      <c r="V85" s="50" t="s">
        <v>1094</v>
      </c>
      <c r="W85" s="5" t="s">
        <v>1095</v>
      </c>
      <c r="X85" s="5" t="s">
        <v>1096</v>
      </c>
      <c r="Y85" s="5" t="s">
        <v>1097</v>
      </c>
      <c r="Z85" s="5" t="s">
        <v>1098</v>
      </c>
      <c r="AA85" s="98" t="s">
        <v>1099</v>
      </c>
      <c r="AB85" s="98" t="s">
        <v>1100</v>
      </c>
      <c r="AC85" s="98" t="s">
        <v>1101</v>
      </c>
      <c r="AD85" s="5"/>
    </row>
    <row r="86" customHeight="1" ht="39.0">
      <c r="A86" s="3" t="n">
        <v>44057.0</v>
      </c>
      <c r="B86" s="1" t="s">
        <v>98</v>
      </c>
      <c r="C86" s="40" t="s">
        <v>1102</v>
      </c>
      <c r="D86" s="40" t="s">
        <v>1103</v>
      </c>
      <c r="E86" s="40" t="s">
        <v>1104</v>
      </c>
      <c r="F86" s="40" t="s">
        <v>907</v>
      </c>
      <c r="G86" s="40" t="s">
        <v>1105</v>
      </c>
      <c r="H86" s="40" t="s">
        <v>1106</v>
      </c>
      <c r="I86" s="40" t="s">
        <v>1107</v>
      </c>
      <c r="J86" s="40"/>
      <c r="K86" s="1"/>
      <c r="L86" s="40"/>
      <c r="M86" s="40"/>
      <c r="N86" s="40"/>
      <c r="O86" s="250" t="s">
        <v>904</v>
      </c>
      <c r="P86" s="250" t="s">
        <v>1108</v>
      </c>
      <c r="Q86" s="249" t="s">
        <v>1109</v>
      </c>
      <c r="R86" s="249" t="s">
        <v>646</v>
      </c>
      <c r="S86" s="49" t="s">
        <v>908</v>
      </c>
      <c r="T86" s="49" t="s">
        <v>1110</v>
      </c>
      <c r="U86" s="49" t="s">
        <v>1110</v>
      </c>
      <c r="V86" s="50" t="s">
        <v>1111</v>
      </c>
      <c r="W86" s="5" t="s">
        <v>1112</v>
      </c>
      <c r="X86" s="5" t="s">
        <v>1113</v>
      </c>
      <c r="Y86" s="5" t="s">
        <v>1114</v>
      </c>
      <c r="Z86" s="5" t="s">
        <v>1115</v>
      </c>
      <c r="AA86" s="98" t="s">
        <v>1116</v>
      </c>
      <c r="AB86" s="98" t="s">
        <v>1117</v>
      </c>
      <c r="AC86" s="98" t="s">
        <v>1118</v>
      </c>
      <c r="AD86" s="98" t="s">
        <v>837</v>
      </c>
    </row>
    <row r="87" customHeight="1" ht="52.0">
      <c r="A87" s="3" t="n">
        <v>44058.0</v>
      </c>
      <c r="B87" s="1" t="s">
        <v>100</v>
      </c>
      <c r="C87" s="5" t="s">
        <v>1119</v>
      </c>
      <c r="D87" s="5" t="s">
        <v>1120</v>
      </c>
      <c r="E87" s="5" t="s">
        <v>1121</v>
      </c>
      <c r="F87" s="5" t="s">
        <v>1122</v>
      </c>
      <c r="G87" s="40" t="s">
        <v>1123</v>
      </c>
      <c r="H87" s="40" t="s">
        <v>1124</v>
      </c>
      <c r="I87" s="40" t="s">
        <v>1125</v>
      </c>
      <c r="J87" s="40"/>
      <c r="K87" s="5"/>
      <c r="L87" s="40"/>
      <c r="M87" s="40"/>
      <c r="N87" s="40"/>
      <c r="O87" s="249" t="s">
        <v>1126</v>
      </c>
      <c r="P87" s="250" t="s">
        <v>1127</v>
      </c>
      <c r="Q87" s="249" t="s">
        <v>1128</v>
      </c>
      <c r="R87" s="249" t="s">
        <v>1129</v>
      </c>
      <c r="S87" s="49" t="s">
        <v>941</v>
      </c>
      <c r="T87" s="49" t="s">
        <v>1130</v>
      </c>
      <c r="U87" s="49" t="s">
        <v>1131</v>
      </c>
      <c r="V87" s="49" t="s">
        <v>1132</v>
      </c>
      <c r="W87" s="5" t="s">
        <v>1023</v>
      </c>
      <c r="X87" s="5" t="s">
        <v>1133</v>
      </c>
      <c r="Y87" s="5" t="s">
        <v>1134</v>
      </c>
      <c r="Z87" s="5"/>
      <c r="AA87" s="98" t="s">
        <v>1135</v>
      </c>
      <c r="AB87" s="98" t="s">
        <v>1136</v>
      </c>
      <c r="AC87" s="98" t="s">
        <v>1137</v>
      </c>
      <c r="AD87" s="5"/>
    </row>
    <row r="88" customHeight="1" ht="52.0">
      <c r="A88" s="3" t="n">
        <v>44059.0</v>
      </c>
      <c r="B88" s="1" t="s">
        <v>101</v>
      </c>
      <c r="C88" s="5" t="s">
        <v>1138</v>
      </c>
      <c r="D88" s="5" t="s">
        <v>1139</v>
      </c>
      <c r="E88" s="5" t="s">
        <v>1140</v>
      </c>
      <c r="F88" s="5" t="s">
        <v>1141</v>
      </c>
      <c r="G88" s="40" t="s">
        <v>1142</v>
      </c>
      <c r="H88" s="40" t="s">
        <v>1143</v>
      </c>
      <c r="I88" s="40" t="s">
        <v>653</v>
      </c>
      <c r="J88" s="40"/>
      <c r="K88" s="40"/>
      <c r="L88" s="5"/>
      <c r="M88" s="40"/>
      <c r="N88" s="40"/>
      <c r="O88" s="249" t="s">
        <v>1144</v>
      </c>
      <c r="P88" s="249" t="s">
        <v>1145</v>
      </c>
      <c r="Q88" s="249" t="s">
        <v>1146</v>
      </c>
      <c r="R88" s="250" t="s">
        <v>1147</v>
      </c>
      <c r="S88" s="49" t="s">
        <v>941</v>
      </c>
      <c r="T88" s="40" t="s">
        <v>1148</v>
      </c>
      <c r="U88" s="40" t="s">
        <v>1149</v>
      </c>
      <c r="V88" s="40" t="s">
        <v>1150</v>
      </c>
      <c r="W88" s="5" t="s">
        <v>1151</v>
      </c>
      <c r="X88" s="5" t="s">
        <v>1152</v>
      </c>
      <c r="Y88" s="5" t="s">
        <v>118</v>
      </c>
      <c r="Z88" s="5"/>
      <c r="AA88" s="98" t="s">
        <v>1153</v>
      </c>
      <c r="AB88" s="98" t="s">
        <v>1154</v>
      </c>
      <c r="AC88" s="98" t="s">
        <v>1155</v>
      </c>
      <c r="AD88" s="98" t="s">
        <v>837</v>
      </c>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5"/>
      <c r="AB89" s="5"/>
      <c r="AC89" s="5"/>
      <c r="AD89" s="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5"/>
      <c r="AB90" s="5"/>
      <c r="AC90" s="5"/>
      <c r="AD90" s="5"/>
    </row>
    <row r="91">
      <c r="A91" s="40" t="s">
        <v>0</v>
      </c>
      <c r="B91" s="5" t="s">
        <v>102</v>
      </c>
      <c r="C91" s="40" t="s">
        <v>2</v>
      </c>
      <c r="D91" s="40"/>
      <c r="E91" s="40"/>
      <c r="F91" s="40"/>
      <c r="G91" s="40" t="s">
        <v>3</v>
      </c>
      <c r="H91" s="40"/>
      <c r="I91" s="40"/>
      <c r="J91" s="40"/>
      <c r="K91" s="39" t="s">
        <v>4</v>
      </c>
      <c r="L91" s="39"/>
      <c r="M91" s="39"/>
      <c r="N91" s="39"/>
      <c r="O91" s="40" t="s">
        <v>103</v>
      </c>
      <c r="P91" s="40"/>
      <c r="Q91" s="40"/>
      <c r="R91" s="40"/>
      <c r="S91" s="43" t="s">
        <v>355</v>
      </c>
      <c r="T91" s="43"/>
      <c r="U91" s="43"/>
      <c r="V91" s="43"/>
      <c r="W91" s="40"/>
      <c r="X91" s="40"/>
      <c r="Y91" s="40"/>
      <c r="Z91" s="40"/>
      <c r="AA91" s="40"/>
      <c r="AB91" s="40"/>
      <c r="AC91" s="40"/>
      <c r="AD91" s="40"/>
    </row>
    <row r="92">
      <c r="A92" s="40"/>
      <c r="B92" s="5" t="s">
        <v>634</v>
      </c>
      <c r="C92" s="40" t="s">
        <v>635</v>
      </c>
      <c r="D92" s="40"/>
      <c r="E92" s="40"/>
      <c r="F92" s="40"/>
      <c r="G92" s="40" t="s">
        <v>1156</v>
      </c>
      <c r="H92" s="40"/>
      <c r="I92" s="40"/>
      <c r="J92" s="40"/>
      <c r="K92" s="40" t="s">
        <v>636</v>
      </c>
      <c r="L92" s="40"/>
      <c r="M92" s="40"/>
      <c r="N92" s="40"/>
      <c r="O92" s="40"/>
      <c r="P92" s="40"/>
      <c r="Q92" s="40"/>
      <c r="R92" s="40"/>
      <c r="S92" s="40" t="s">
        <v>637</v>
      </c>
      <c r="T92" s="40"/>
      <c r="U92" s="40"/>
      <c r="V92" s="40"/>
      <c r="W92" s="5"/>
      <c r="X92" s="5"/>
      <c r="Y92" s="5"/>
      <c r="Z92" s="5"/>
      <c r="AA92" s="5"/>
      <c r="AB92" s="5"/>
      <c r="AC92" s="5"/>
      <c r="AD92" s="5"/>
    </row>
    <row r="93">
      <c r="A93" s="40"/>
      <c r="B93" s="5" t="s">
        <v>406</v>
      </c>
      <c r="C93" s="5" t="s">
        <v>638</v>
      </c>
      <c r="D93" s="5" t="s">
        <v>639</v>
      </c>
      <c r="E93" s="5" t="s">
        <v>640</v>
      </c>
      <c r="F93" s="5" t="s">
        <v>641</v>
      </c>
      <c r="G93" s="5" t="s">
        <v>638</v>
      </c>
      <c r="H93" s="5" t="s">
        <v>639</v>
      </c>
      <c r="I93" s="5" t="s">
        <v>640</v>
      </c>
      <c r="J93" s="5" t="s">
        <v>641</v>
      </c>
      <c r="K93" s="5" t="s">
        <v>638</v>
      </c>
      <c r="L93" s="5" t="s">
        <v>639</v>
      </c>
      <c r="M93" s="5" t="s">
        <v>640</v>
      </c>
      <c r="N93" s="5" t="s">
        <v>641</v>
      </c>
      <c r="O93" s="5" t="s">
        <v>638</v>
      </c>
      <c r="P93" s="5" t="s">
        <v>639</v>
      </c>
      <c r="Q93" s="5" t="s">
        <v>640</v>
      </c>
      <c r="R93" s="5" t="s">
        <v>641</v>
      </c>
      <c r="S93" s="5" t="s">
        <v>642</v>
      </c>
      <c r="T93" s="5" t="s">
        <v>639</v>
      </c>
      <c r="U93" s="5" t="s">
        <v>640</v>
      </c>
      <c r="V93" s="5" t="s">
        <v>641</v>
      </c>
      <c r="W93" s="5" t="s">
        <v>642</v>
      </c>
      <c r="X93" s="5" t="s">
        <v>639</v>
      </c>
      <c r="Y93" s="5" t="s">
        <v>640</v>
      </c>
      <c r="Z93" s="5" t="s">
        <v>641</v>
      </c>
      <c r="AA93" s="5" t="s">
        <v>642</v>
      </c>
      <c r="AB93" s="5"/>
      <c r="AC93" s="5"/>
      <c r="AD93" s="5"/>
    </row>
    <row r="94" customHeight="1" ht="39.0">
      <c r="A94" s="3" t="n">
        <v>44060.0</v>
      </c>
      <c r="B94" s="5" t="s">
        <v>90</v>
      </c>
      <c r="C94" s="5" t="s">
        <v>1157</v>
      </c>
      <c r="D94" s="5" t="s">
        <v>1158</v>
      </c>
      <c r="E94" s="5" t="s">
        <v>1159</v>
      </c>
      <c r="F94" s="5" t="s">
        <v>1160</v>
      </c>
      <c r="G94" s="40" t="s">
        <v>941</v>
      </c>
      <c r="H94" s="40" t="s">
        <v>1161</v>
      </c>
      <c r="I94" s="1" t="s">
        <v>1162</v>
      </c>
      <c r="J94" s="40" t="s">
        <v>1163</v>
      </c>
      <c r="K94" s="1" t="s">
        <v>1164</v>
      </c>
      <c r="L94" s="1" t="s">
        <v>1165</v>
      </c>
      <c r="M94" s="1" t="s">
        <v>1166</v>
      </c>
      <c r="N94" s="1" t="s">
        <v>660</v>
      </c>
      <c r="O94" s="251" t="s">
        <v>1167</v>
      </c>
      <c r="P94" s="251" t="s">
        <v>663</v>
      </c>
      <c r="Q94" s="251" t="s">
        <v>1168</v>
      </c>
      <c r="R94" s="251" t="s">
        <v>1169</v>
      </c>
      <c r="S94" s="249" t="s">
        <v>758</v>
      </c>
      <c r="T94" s="249" t="s">
        <v>1170</v>
      </c>
      <c r="U94" s="249" t="s">
        <v>1171</v>
      </c>
      <c r="V94" s="252"/>
      <c r="W94" s="5"/>
      <c r="X94" s="5"/>
      <c r="Y94" s="5"/>
      <c r="Z94" s="5"/>
      <c r="AA94" s="5"/>
      <c r="AB94" s="5"/>
      <c r="AC94" s="5"/>
      <c r="AD94" s="5"/>
    </row>
    <row r="95" customHeight="1" ht="65.0">
      <c r="A95" s="3" t="n">
        <v>44061.0</v>
      </c>
      <c r="B95" s="5" t="s">
        <v>92</v>
      </c>
      <c r="C95" s="5" t="s">
        <v>1172</v>
      </c>
      <c r="D95" s="5" t="s">
        <v>1173</v>
      </c>
      <c r="E95" s="5" t="s">
        <v>1174</v>
      </c>
      <c r="F95" s="40" t="s">
        <v>1175</v>
      </c>
      <c r="G95" s="40" t="s">
        <v>941</v>
      </c>
      <c r="H95" s="40" t="s">
        <v>1176</v>
      </c>
      <c r="I95" s="40" t="s">
        <v>1177</v>
      </c>
      <c r="J95" s="50" t="s">
        <v>1178</v>
      </c>
      <c r="K95" s="40" t="s">
        <v>1179</v>
      </c>
      <c r="L95" s="40" t="s">
        <v>1180</v>
      </c>
      <c r="M95" s="40" t="s">
        <v>1181</v>
      </c>
      <c r="N95" s="40"/>
      <c r="O95" s="251" t="s">
        <v>1182</v>
      </c>
      <c r="P95" s="40" t="s">
        <v>1183</v>
      </c>
      <c r="Q95" s="40" t="s">
        <v>663</v>
      </c>
      <c r="R95" s="40" t="s">
        <v>118</v>
      </c>
      <c r="S95" s="249" t="s">
        <v>758</v>
      </c>
      <c r="T95" s="249" t="s">
        <v>1184</v>
      </c>
      <c r="U95" s="249" t="s">
        <v>663</v>
      </c>
      <c r="V95" s="252" t="s">
        <v>1185</v>
      </c>
      <c r="W95" s="5"/>
      <c r="X95" s="5"/>
      <c r="Y95" s="5"/>
      <c r="Z95" s="5"/>
      <c r="AA95" s="5"/>
      <c r="AB95" s="5"/>
      <c r="AC95" s="5"/>
      <c r="AD95" s="5"/>
    </row>
    <row r="96" customHeight="1" ht="65.0">
      <c r="A96" s="3" t="n">
        <v>44062.0</v>
      </c>
      <c r="B96" s="5" t="s">
        <v>94</v>
      </c>
      <c r="C96" s="5" t="s">
        <v>1186</v>
      </c>
      <c r="D96" s="5" t="s">
        <v>1187</v>
      </c>
      <c r="E96" s="5" t="s">
        <v>1188</v>
      </c>
      <c r="F96" s="5" t="s">
        <v>1039</v>
      </c>
      <c r="G96" s="40" t="s">
        <v>941</v>
      </c>
      <c r="H96" s="1" t="s">
        <v>1189</v>
      </c>
      <c r="I96" s="1" t="s">
        <v>1190</v>
      </c>
      <c r="J96" s="40" t="s">
        <v>1191</v>
      </c>
      <c r="K96" s="40" t="s">
        <v>1179</v>
      </c>
      <c r="L96" s="40" t="s">
        <v>1192</v>
      </c>
      <c r="M96" s="40" t="s">
        <v>1193</v>
      </c>
      <c r="N96" s="40"/>
      <c r="O96" s="40" t="s">
        <v>904</v>
      </c>
      <c r="P96" s="40" t="s">
        <v>1194</v>
      </c>
      <c r="Q96" s="40" t="s">
        <v>904</v>
      </c>
      <c r="R96" s="40" t="s">
        <v>118</v>
      </c>
      <c r="S96" s="250" t="s">
        <v>904</v>
      </c>
      <c r="T96" s="252" t="s">
        <v>1195</v>
      </c>
      <c r="U96" s="249" t="s">
        <v>653</v>
      </c>
      <c r="V96" s="249"/>
      <c r="W96" s="5"/>
      <c r="X96" s="5"/>
      <c r="Y96" s="5"/>
      <c r="Z96" s="5"/>
      <c r="AA96" s="5"/>
      <c r="AB96" s="5"/>
      <c r="AC96" s="5"/>
      <c r="AD96" s="5"/>
    </row>
    <row r="97" customHeight="1" ht="182.0">
      <c r="A97" s="3" t="n">
        <v>44063.0</v>
      </c>
      <c r="B97" s="5" t="s">
        <v>96</v>
      </c>
      <c r="C97" s="5" t="s">
        <v>1196</v>
      </c>
      <c r="D97" s="5" t="s">
        <v>1197</v>
      </c>
      <c r="E97" s="5" t="s">
        <v>1198</v>
      </c>
      <c r="F97" s="5" t="s">
        <v>1199</v>
      </c>
      <c r="G97" s="1" t="s">
        <v>908</v>
      </c>
      <c r="H97" s="1" t="s">
        <v>1190</v>
      </c>
      <c r="I97" s="1" t="s">
        <v>1200</v>
      </c>
      <c r="J97" s="40" t="s">
        <v>1201</v>
      </c>
      <c r="K97" s="40" t="s">
        <v>1179</v>
      </c>
      <c r="L97" s="40" t="s">
        <v>1202</v>
      </c>
      <c r="M97" s="40" t="s">
        <v>645</v>
      </c>
      <c r="N97" s="40"/>
      <c r="O97" s="40" t="s">
        <v>1203</v>
      </c>
      <c r="P97" s="40" t="s">
        <v>1204</v>
      </c>
      <c r="Q97" s="40" t="s">
        <v>1205</v>
      </c>
      <c r="R97" s="40" t="s">
        <v>943</v>
      </c>
      <c r="S97" s="249" t="s">
        <v>1206</v>
      </c>
      <c r="T97" s="249" t="s">
        <v>1207</v>
      </c>
      <c r="U97" s="249" t="s">
        <v>1171</v>
      </c>
      <c r="V97" s="249"/>
      <c r="W97" s="5"/>
      <c r="X97" s="5"/>
      <c r="Y97" s="5"/>
      <c r="Z97" s="5"/>
      <c r="AA97" s="5"/>
      <c r="AB97" s="5"/>
      <c r="AC97" s="5"/>
      <c r="AD97" s="5"/>
    </row>
    <row r="98" customHeight="1" ht="52.0">
      <c r="A98" s="3" t="n">
        <v>44064.0</v>
      </c>
      <c r="B98" s="5" t="s">
        <v>98</v>
      </c>
      <c r="C98" s="40" t="s">
        <v>1208</v>
      </c>
      <c r="D98" s="237" t="s">
        <v>1209</v>
      </c>
      <c r="E98" s="237" t="s">
        <v>1210</v>
      </c>
      <c r="F98" s="40" t="s">
        <v>1211</v>
      </c>
      <c r="G98" s="1" t="s">
        <v>908</v>
      </c>
      <c r="H98" s="40" t="s">
        <v>1212</v>
      </c>
      <c r="I98" s="40" t="s">
        <v>1212</v>
      </c>
      <c r="J98" s="40" t="s">
        <v>646</v>
      </c>
      <c r="K98" s="1" t="s">
        <v>1179</v>
      </c>
      <c r="L98" s="40" t="s">
        <v>1213</v>
      </c>
      <c r="M98" s="40" t="s">
        <v>1214</v>
      </c>
      <c r="N98" s="40"/>
      <c r="O98" s="40" t="s">
        <v>1203</v>
      </c>
      <c r="P98" s="40" t="s">
        <v>1215</v>
      </c>
      <c r="Q98" s="40" t="s">
        <v>118</v>
      </c>
      <c r="R98" s="40" t="s">
        <v>1216</v>
      </c>
      <c r="S98" s="250" t="s">
        <v>904</v>
      </c>
      <c r="T98" s="249" t="s">
        <v>653</v>
      </c>
      <c r="U98" s="249" t="s">
        <v>1217</v>
      </c>
      <c r="V98" s="249" t="s">
        <v>1185</v>
      </c>
      <c r="W98" s="5"/>
      <c r="X98" s="5"/>
      <c r="Y98" s="5"/>
      <c r="Z98" s="5"/>
      <c r="AA98" s="5"/>
      <c r="AB98" s="5"/>
      <c r="AC98" s="5"/>
      <c r="AD98" s="5"/>
    </row>
    <row r="99" customHeight="1" ht="52.0">
      <c r="A99" s="3" t="n">
        <v>44065.0</v>
      </c>
      <c r="B99" s="5" t="s">
        <v>100</v>
      </c>
      <c r="C99" s="40" t="s">
        <v>1218</v>
      </c>
      <c r="D99" s="40" t="s">
        <v>1219</v>
      </c>
      <c r="E99" s="40" t="s">
        <v>1220</v>
      </c>
      <c r="F99" s="40" t="s">
        <v>1221</v>
      </c>
      <c r="G99" s="1" t="s">
        <v>908</v>
      </c>
      <c r="H99" s="40" t="s">
        <v>1222</v>
      </c>
      <c r="I99" s="40" t="s">
        <v>1223</v>
      </c>
      <c r="J99" s="50" t="s">
        <v>1224</v>
      </c>
      <c r="K99" s="1" t="s">
        <v>1179</v>
      </c>
      <c r="L99" s="40" t="s">
        <v>1225</v>
      </c>
      <c r="M99" s="40" t="s">
        <v>972</v>
      </c>
      <c r="N99" s="40"/>
      <c r="O99" s="40" t="s">
        <v>1226</v>
      </c>
      <c r="P99" s="40" t="s">
        <v>1227</v>
      </c>
      <c r="Q99" s="40" t="s">
        <v>1228</v>
      </c>
      <c r="R99" s="40" t="s">
        <v>1229</v>
      </c>
      <c r="S99" s="249" t="s">
        <v>1230</v>
      </c>
      <c r="T99" s="249" t="s">
        <v>1231</v>
      </c>
      <c r="U99" s="249" t="s">
        <v>1171</v>
      </c>
      <c r="V99" s="249" t="s">
        <v>1232</v>
      </c>
      <c r="W99" s="5"/>
      <c r="X99" s="5"/>
      <c r="Y99" s="5"/>
      <c r="Z99" s="5"/>
      <c r="AA99" s="5"/>
      <c r="AB99" s="5"/>
      <c r="AC99" s="5"/>
      <c r="AD99" s="5"/>
    </row>
    <row r="100" customHeight="1" ht="26.0">
      <c r="A100" s="3" t="n">
        <v>44066.0</v>
      </c>
      <c r="B100" s="5" t="s">
        <v>101</v>
      </c>
      <c r="C100" s="1"/>
      <c r="D100" s="1"/>
      <c r="E100" s="1"/>
      <c r="F100" s="1"/>
      <c r="G100" s="40" t="s">
        <v>908</v>
      </c>
      <c r="H100" s="40" t="s">
        <v>1233</v>
      </c>
      <c r="I100" s="40" t="s">
        <v>1234</v>
      </c>
      <c r="J100" s="40" t="s">
        <v>1235</v>
      </c>
      <c r="K100" s="1" t="s">
        <v>1179</v>
      </c>
      <c r="L100" s="5" t="s">
        <v>1236</v>
      </c>
      <c r="M100" s="40" t="s">
        <v>652</v>
      </c>
      <c r="N100" s="40"/>
      <c r="O100" s="40" t="s">
        <v>1226</v>
      </c>
      <c r="P100" s="253" t="s">
        <v>1237</v>
      </c>
      <c r="Q100" s="253"/>
      <c r="R100" s="253"/>
      <c r="S100" s="249" t="s">
        <v>1238</v>
      </c>
      <c r="T100" s="249" t="s">
        <v>1239</v>
      </c>
      <c r="U100" s="249" t="s">
        <v>1240</v>
      </c>
      <c r="V100" s="40"/>
      <c r="W100" s="5"/>
      <c r="X100" s="5"/>
      <c r="Y100" s="5"/>
      <c r="Z100" s="5"/>
      <c r="AA100" s="98"/>
      <c r="AB100" s="98"/>
      <c r="AC100" s="98"/>
      <c r="AD100" s="98"/>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5"/>
      <c r="AB101" s="5"/>
      <c r="AC101" s="5"/>
      <c r="AD101" s="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5"/>
      <c r="AB102" s="5"/>
      <c r="AC102" s="5"/>
      <c r="AD102" s="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5"/>
      <c r="AB103" s="5"/>
      <c r="AC103" s="5"/>
      <c r="AD103" s="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5"/>
      <c r="AB104" s="5"/>
      <c r="AC104" s="5"/>
      <c r="AD104" s="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5"/>
      <c r="AB105" s="5"/>
      <c r="AC105" s="5"/>
      <c r="AD105" s="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5"/>
      <c r="AB106" s="5"/>
      <c r="AC106" s="5"/>
      <c r="AD106" s="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5"/>
      <c r="AB107" s="5"/>
      <c r="AC107" s="5"/>
      <c r="AD107" s="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5"/>
      <c r="AB108" s="5"/>
      <c r="AC108" s="5"/>
      <c r="AD108" s="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5"/>
      <c r="AB109" s="5"/>
      <c r="AC109" s="5"/>
      <c r="AD109" s="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5"/>
      <c r="AB110" s="5"/>
      <c r="AC110" s="5"/>
      <c r="AD110" s="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5"/>
      <c r="AB111" s="5"/>
      <c r="AC111" s="5"/>
      <c r="AD111" s="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5"/>
      <c r="AB112" s="5"/>
      <c r="AC112" s="5"/>
      <c r="AD112" s="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5"/>
      <c r="AB113" s="5"/>
      <c r="AC113" s="5"/>
      <c r="AD113" s="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5"/>
      <c r="AB114" s="5"/>
      <c r="AC114" s="5"/>
      <c r="AD114" s="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5"/>
      <c r="AB115" s="5"/>
      <c r="AC115" s="5"/>
      <c r="AD115" s="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5"/>
      <c r="AB116" s="5"/>
      <c r="AC116" s="5"/>
      <c r="AD116" s="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5"/>
      <c r="AB117" s="5"/>
      <c r="AC117" s="5"/>
      <c r="AD117" s="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5"/>
      <c r="AB118" s="5"/>
      <c r="AC118" s="5"/>
      <c r="AD118" s="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5"/>
      <c r="AB119" s="5"/>
      <c r="AC119" s="5"/>
      <c r="AD119" s="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5"/>
      <c r="AB120" s="5"/>
      <c r="AC120" s="5"/>
      <c r="AD120" s="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5"/>
      <c r="AB121" s="5"/>
      <c r="AC121" s="5"/>
      <c r="AD121" s="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5"/>
      <c r="AB122" s="5"/>
      <c r="AC122" s="5"/>
      <c r="AD122" s="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5"/>
      <c r="AB123" s="5"/>
      <c r="AC123" s="5"/>
      <c r="AD123" s="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5"/>
      <c r="AB124" s="5"/>
      <c r="AC124" s="5"/>
      <c r="AD124" s="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5"/>
      <c r="AB125" s="5"/>
      <c r="AC125" s="5"/>
      <c r="AD125" s="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5"/>
      <c r="AB126" s="5"/>
      <c r="AC126" s="5"/>
      <c r="AD126" s="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5"/>
      <c r="AB127" s="5"/>
      <c r="AC127" s="5"/>
      <c r="AD127" s="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5"/>
      <c r="AB128" s="5"/>
      <c r="AC128" s="5"/>
      <c r="AD128" s="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5"/>
      <c r="AB129" s="5"/>
      <c r="AC129" s="5"/>
      <c r="AD129" s="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5"/>
      <c r="AB130" s="5"/>
      <c r="AC130" s="5"/>
      <c r="AD130" s="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5"/>
      <c r="AB131" s="5"/>
      <c r="AC131" s="5"/>
      <c r="AD131" s="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5"/>
      <c r="AB132" s="5"/>
      <c r="AC132" s="5"/>
      <c r="AD132" s="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5"/>
      <c r="AB133" s="5"/>
      <c r="AC133" s="5"/>
      <c r="AD133" s="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5"/>
      <c r="AB134" s="5"/>
      <c r="AC134" s="5"/>
      <c r="AD134" s="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5"/>
      <c r="AB135" s="5"/>
      <c r="AC135" s="5"/>
      <c r="AD135" s="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5"/>
      <c r="AB136" s="5"/>
      <c r="AC136" s="5"/>
      <c r="AD136" s="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5"/>
      <c r="AB137" s="5"/>
      <c r="AC137" s="5"/>
      <c r="AD137" s="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5"/>
      <c r="AB138" s="5"/>
      <c r="AC138" s="5"/>
      <c r="AD138" s="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5"/>
      <c r="AB139" s="5"/>
      <c r="AC139" s="5"/>
      <c r="AD139" s="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5"/>
      <c r="AB140" s="5"/>
      <c r="AC140" s="5"/>
      <c r="AD140" s="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5"/>
      <c r="AB141" s="5"/>
      <c r="AC141" s="5"/>
      <c r="AD141" s="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5"/>
      <c r="AB142" s="5"/>
      <c r="AC142" s="5"/>
      <c r="AD142" s="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5"/>
      <c r="AB143" s="5"/>
      <c r="AC143" s="5"/>
      <c r="AD143" s="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5"/>
      <c r="AB144" s="5"/>
      <c r="AC144" s="5"/>
      <c r="AD144" s="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5"/>
      <c r="AB145" s="5"/>
      <c r="AC145" s="5"/>
      <c r="AD145" s="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5"/>
      <c r="AB146" s="5"/>
      <c r="AC146" s="5"/>
      <c r="AD146" s="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5"/>
      <c r="AB147" s="5"/>
      <c r="AC147" s="5"/>
      <c r="AD147" s="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5"/>
      <c r="AB148" s="5"/>
      <c r="AC148" s="5"/>
      <c r="AD148" s="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5"/>
      <c r="AB149" s="5"/>
      <c r="AC149" s="5"/>
      <c r="AD149" s="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5"/>
      <c r="AB150" s="5"/>
      <c r="AC150" s="5"/>
      <c r="AD150" s="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5"/>
      <c r="AB151" s="5"/>
      <c r="AC151" s="5"/>
      <c r="AD151" s="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5"/>
      <c r="AB152" s="5"/>
      <c r="AC152" s="5"/>
      <c r="AD152" s="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5"/>
      <c r="AB153" s="5"/>
      <c r="AC153" s="5"/>
      <c r="AD153" s="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5"/>
      <c r="AB154" s="5"/>
      <c r="AC154" s="5"/>
      <c r="AD154" s="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5"/>
      <c r="AB155" s="5"/>
      <c r="AC155" s="5"/>
      <c r="AD155" s="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5"/>
      <c r="AB156" s="5"/>
      <c r="AC156" s="5"/>
      <c r="AD156" s="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5"/>
      <c r="AB157" s="5"/>
      <c r="AC157" s="5"/>
      <c r="AD157" s="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5"/>
      <c r="AB158" s="5"/>
      <c r="AC158" s="5"/>
      <c r="AD158" s="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5"/>
      <c r="AB159" s="5"/>
      <c r="AC159" s="5"/>
      <c r="AD159" s="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5"/>
      <c r="AB160" s="5"/>
      <c r="AC160" s="5"/>
      <c r="AD160" s="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5"/>
      <c r="AB161" s="5"/>
      <c r="AC161" s="5"/>
      <c r="AD161" s="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5"/>
      <c r="AB162" s="5"/>
      <c r="AC162" s="5"/>
      <c r="AD162" s="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5"/>
      <c r="AB163" s="5"/>
      <c r="AC163" s="5"/>
      <c r="AD163" s="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5"/>
      <c r="AB164" s="5"/>
      <c r="AC164" s="5"/>
      <c r="AD164" s="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5"/>
      <c r="AB165" s="5"/>
      <c r="AC165" s="5"/>
      <c r="AD165" s="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5"/>
      <c r="AB166" s="5"/>
      <c r="AC166" s="5"/>
      <c r="AD166" s="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5"/>
      <c r="AB167" s="5"/>
      <c r="AC167" s="5"/>
      <c r="AD167" s="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5"/>
      <c r="AB168" s="5"/>
      <c r="AC168" s="5"/>
      <c r="AD168" s="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5"/>
      <c r="AB169" s="5"/>
      <c r="AC169" s="5"/>
      <c r="AD169" s="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5"/>
      <c r="AB170" s="5"/>
      <c r="AC170" s="5"/>
      <c r="AD170" s="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5"/>
      <c r="AB171" s="5"/>
      <c r="AC171" s="5"/>
      <c r="AD171" s="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5"/>
      <c r="AB172" s="5"/>
      <c r="AC172" s="5"/>
      <c r="AD172" s="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5"/>
      <c r="AB173" s="5"/>
      <c r="AC173" s="5"/>
      <c r="AD173" s="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5"/>
      <c r="AB174" s="5"/>
      <c r="AC174" s="5"/>
      <c r="AD174" s="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5"/>
      <c r="AB175" s="5"/>
      <c r="AC175" s="5"/>
      <c r="AD175" s="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5"/>
      <c r="AB176" s="5"/>
      <c r="AC176" s="5"/>
      <c r="AD176" s="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5"/>
      <c r="AB177" s="5"/>
      <c r="AC177" s="5"/>
      <c r="AD177" s="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5"/>
      <c r="AB178" s="5"/>
      <c r="AC178" s="5"/>
      <c r="AD178" s="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5"/>
      <c r="AB179" s="5"/>
      <c r="AC179" s="5"/>
      <c r="AD179" s="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5"/>
      <c r="AB180" s="5"/>
      <c r="AC180" s="5"/>
      <c r="AD180" s="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5"/>
      <c r="AB181" s="5"/>
      <c r="AC181" s="5"/>
      <c r="AD181" s="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5"/>
      <c r="AB182" s="5"/>
      <c r="AC182" s="5"/>
      <c r="AD182" s="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5"/>
      <c r="AB183" s="5"/>
      <c r="AC183" s="5"/>
      <c r="AD183" s="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5"/>
      <c r="AB184" s="5"/>
      <c r="AC184" s="5"/>
      <c r="AD184" s="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5"/>
      <c r="AB185" s="5"/>
      <c r="AC185" s="5"/>
      <c r="AD185" s="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5"/>
      <c r="AB186" s="5"/>
      <c r="AC186" s="5"/>
      <c r="AD186" s="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5"/>
      <c r="AB187" s="5"/>
      <c r="AC187" s="5"/>
      <c r="AD187" s="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5"/>
      <c r="AB188" s="5"/>
      <c r="AC188" s="5"/>
      <c r="AD188" s="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5"/>
      <c r="AB189" s="5"/>
      <c r="AC189" s="5"/>
      <c r="AD189" s="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5"/>
      <c r="AB190" s="5"/>
      <c r="AC190" s="5"/>
      <c r="AD190" s="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5"/>
      <c r="AB191" s="5"/>
      <c r="AC191" s="5"/>
      <c r="AD191" s="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5"/>
      <c r="AB192" s="5"/>
      <c r="AC192" s="5"/>
      <c r="AD192" s="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5"/>
      <c r="AB193" s="5"/>
      <c r="AC193" s="5"/>
      <c r="AD193" s="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5"/>
      <c r="AB194" s="5"/>
      <c r="AC194" s="5"/>
      <c r="AD194" s="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5"/>
      <c r="AB195" s="5"/>
      <c r="AC195" s="5"/>
      <c r="AD195" s="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5"/>
      <c r="AB196" s="5"/>
      <c r="AC196" s="5"/>
      <c r="AD196" s="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5"/>
      <c r="AB197" s="5"/>
      <c r="AC197" s="5"/>
      <c r="AD197" s="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5"/>
      <c r="AB198" s="5"/>
      <c r="AC198" s="5"/>
      <c r="AD198" s="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5"/>
      <c r="AB199" s="5"/>
      <c r="AC199" s="5"/>
      <c r="AD199" s="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5"/>
      <c r="AB200" s="5"/>
      <c r="AC200" s="5"/>
      <c r="AD200" s="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5"/>
      <c r="AB201" s="5"/>
      <c r="AC201" s="5"/>
      <c r="AD201" s="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5"/>
      <c r="AB202" s="5"/>
      <c r="AC202" s="5"/>
      <c r="AD202" s="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5"/>
      <c r="AB203" s="5"/>
      <c r="AC203" s="5"/>
      <c r="AD203" s="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5"/>
      <c r="AB204" s="5"/>
      <c r="AC204" s="5"/>
      <c r="AD204" s="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5"/>
      <c r="AB205" s="5"/>
      <c r="AC205" s="5"/>
      <c r="AD205" s="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5"/>
      <c r="AB206" s="5"/>
      <c r="AC206" s="5"/>
      <c r="AD206" s="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5"/>
      <c r="AB207" s="5"/>
      <c r="AC207" s="5"/>
      <c r="AD207" s="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5"/>
      <c r="AB208" s="5"/>
      <c r="AC208" s="5"/>
      <c r="AD208" s="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5"/>
      <c r="AB209" s="5"/>
      <c r="AC209" s="5"/>
      <c r="AD209" s="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5"/>
      <c r="AB210" s="5"/>
      <c r="AC210" s="5"/>
      <c r="AD210" s="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5"/>
      <c r="AB211" s="5"/>
      <c r="AC211" s="5"/>
      <c r="AD211" s="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5"/>
      <c r="AB212" s="5"/>
      <c r="AC212" s="5"/>
      <c r="AD212" s="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5"/>
      <c r="AB213" s="5"/>
      <c r="AC213" s="5"/>
      <c r="AD213" s="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5"/>
      <c r="AB214" s="5"/>
      <c r="AC214" s="5"/>
      <c r="AD214" s="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5"/>
      <c r="AB215" s="5"/>
      <c r="AC215" s="5"/>
      <c r="AD215" s="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5"/>
      <c r="AB216" s="5"/>
      <c r="AC216" s="5"/>
      <c r="AD216" s="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5"/>
      <c r="AB217" s="5"/>
      <c r="AC217" s="5"/>
      <c r="AD217" s="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5"/>
      <c r="AB218" s="5"/>
      <c r="AC218" s="5"/>
      <c r="AD218" s="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5"/>
      <c r="AB219" s="5"/>
      <c r="AC219" s="5"/>
      <c r="AD219" s="5"/>
    </row>
  </sheetData>
  <mergeCells>
    <mergeCell ref="A1:A3"/>
    <mergeCell ref="C1:F1"/>
    <mergeCell ref="G1:J1"/>
    <mergeCell ref="K1:N1"/>
    <mergeCell ref="O1:R1"/>
    <mergeCell ref="S1:V1"/>
    <mergeCell ref="W1:Z1"/>
    <mergeCell ref="AA1:AD1"/>
    <mergeCell ref="C2:F2"/>
    <mergeCell ref="G2:J2"/>
    <mergeCell ref="K2:N2"/>
    <mergeCell ref="O2:R2"/>
    <mergeCell ref="S2:V2"/>
    <mergeCell ref="W2:Z2"/>
    <mergeCell ref="AA2:AD2"/>
    <mergeCell ref="A16:A23"/>
    <mergeCell ref="B16:B23"/>
    <mergeCell ref="A26:X26"/>
    <mergeCell ref="A27:A28"/>
    <mergeCell ref="C27:F27"/>
    <mergeCell ref="G27:J27"/>
    <mergeCell ref="K27:N27"/>
    <mergeCell ref="O27:R27"/>
    <mergeCell ref="S27:V27"/>
    <mergeCell ref="G36:J36"/>
    <mergeCell ref="K36:N36"/>
    <mergeCell ref="O36:R36"/>
    <mergeCell ref="S36:V36"/>
    <mergeCell ref="C37:F37"/>
    <mergeCell ref="G37:J37"/>
    <mergeCell ref="K37:N37"/>
    <mergeCell ref="O37:R37"/>
    <mergeCell ref="S37:V37"/>
    <mergeCell ref="A39:A41"/>
    <mergeCell ref="C39:F39"/>
    <mergeCell ref="G39:J39"/>
    <mergeCell ref="K39:N39"/>
    <mergeCell ref="O39:R39"/>
    <mergeCell ref="S39:V39"/>
    <mergeCell ref="C40:E40"/>
    <mergeCell ref="A51:A53"/>
    <mergeCell ref="C51:F51"/>
    <mergeCell ref="G51:J51"/>
    <mergeCell ref="K51:N51"/>
    <mergeCell ref="O51:R51"/>
    <mergeCell ref="S51:V51"/>
    <mergeCell ref="C52:E52"/>
    <mergeCell ref="K52:N52"/>
    <mergeCell ref="O52:R52"/>
    <mergeCell ref="C61:E61"/>
    <mergeCell ref="G61:I61"/>
    <mergeCell ref="K61:M61"/>
    <mergeCell ref="O61:Q61"/>
    <mergeCell ref="A64:A66"/>
    <mergeCell ref="C64:F64"/>
    <mergeCell ref="G64:J64"/>
    <mergeCell ref="K64:N64"/>
    <mergeCell ref="O64:R64"/>
    <mergeCell ref="S64:V64"/>
    <mergeCell ref="W64:Z64"/>
    <mergeCell ref="C65:E65"/>
    <mergeCell ref="G65:J65"/>
    <mergeCell ref="K65:N65"/>
    <mergeCell ref="O65:R65"/>
    <mergeCell ref="W65:Z65"/>
    <mergeCell ref="C74:E74"/>
    <mergeCell ref="G74:I74"/>
    <mergeCell ref="K74:M74"/>
    <mergeCell ref="O74:Q74"/>
    <mergeCell ref="S74:U74"/>
    <mergeCell ref="W74:Y74"/>
    <mergeCell ref="A79:A81"/>
    <mergeCell ref="C79:F79"/>
    <mergeCell ref="G79:J79"/>
    <mergeCell ref="K79:N79"/>
    <mergeCell ref="O79:R79"/>
    <mergeCell ref="S79:V79"/>
    <mergeCell ref="W79:Z79"/>
    <mergeCell ref="AA79:AD79"/>
    <mergeCell ref="C80:E80"/>
    <mergeCell ref="G80:J80"/>
    <mergeCell ref="K80:N80"/>
    <mergeCell ref="O80:R80"/>
    <mergeCell ref="S80:V80"/>
    <mergeCell ref="W80:Z80"/>
    <mergeCell ref="AA80:AD80"/>
    <mergeCell ref="A91:A93"/>
    <mergeCell ref="C91:F91"/>
    <mergeCell ref="G91:J91"/>
    <mergeCell ref="K91:N91"/>
    <mergeCell ref="O91:R91"/>
    <mergeCell ref="S91:V91"/>
    <mergeCell ref="W91:Z91"/>
    <mergeCell ref="AA91:AD91"/>
    <mergeCell ref="C92:F92"/>
    <mergeCell ref="G92:J92"/>
    <mergeCell ref="K92:N92"/>
    <mergeCell ref="O92:R92"/>
    <mergeCell ref="S92:V92"/>
    <mergeCell ref="W92:Z92"/>
    <mergeCell ref="AA92:AD92"/>
  </mergeCells>
  <pageMargins bottom="0.75" footer="0.3" header="0.3" left="0.7" right="0.7" top="0.75"/>
</worksheet>
</file>

<file path=xl/worksheets/sheet6.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6.0" baseColWidth="10"/>
  <cols>
    <col min="1" max="1" width="10.833333333333334" customWidth="true"/>
    <col min="2" max="2" width="10.833333333333334" customWidth="true"/>
    <col min="3" max="3" width="18.166666666666668" customWidth="true"/>
    <col min="4" max="4" width="9.5" customWidth="true"/>
    <col min="5" max="5" width="11.0" customWidth="true"/>
    <col min="6" max="6" width="10.833333333333334" customWidth="true"/>
    <col min="7" max="7" width="10.833333333333334" customWidth="true"/>
    <col min="8" max="8" width="10.833333333333334" customWidth="true"/>
    <col min="9" max="9" width="10.833333333333334" customWidth="true"/>
    <col min="10" max="10" width="10.833333333333334" customWidth="true"/>
    <col min="11" max="11" width="10.833333333333334" customWidth="true"/>
    <col min="12" max="12" width="10.833333333333334" customWidth="true"/>
    <col min="13" max="13" width="18.666666666666668"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 min="25" max="25" width="10.833333333333334" customWidth="true"/>
    <col min="26" max="26" width="10.833333333333334" customWidth="true"/>
  </cols>
  <sheetData>
    <row r="1">
      <c r="A1" s="1" t="s">
        <v>102</v>
      </c>
      <c r="B1" s="1" t="s">
        <v>1</v>
      </c>
      <c r="C1" s="40" t="s">
        <v>2</v>
      </c>
      <c r="D1" s="40"/>
      <c r="E1" s="40"/>
      <c r="F1" s="40" t="s">
        <v>4</v>
      </c>
      <c r="G1" s="40"/>
      <c r="H1" s="40"/>
      <c r="I1" s="40" t="s">
        <v>3</v>
      </c>
      <c r="J1" s="40"/>
      <c r="K1" s="40"/>
      <c r="L1" s="40" t="s">
        <v>35</v>
      </c>
      <c r="M1" s="40"/>
      <c r="N1" s="40"/>
      <c r="O1" s="40"/>
      <c r="P1" s="40"/>
      <c r="Q1" s="40"/>
      <c r="R1" s="40"/>
      <c r="S1" s="40"/>
      <c r="T1" s="40"/>
      <c r="U1" s="40"/>
      <c r="V1" s="40"/>
      <c r="W1" s="40"/>
      <c r="X1" s="39"/>
      <c r="Y1" s="41"/>
      <c r="Z1" s="41"/>
    </row>
    <row r="2" customHeight="1" ht="39.0">
      <c r="A2" s="1" t="s">
        <v>406</v>
      </c>
      <c r="B2" s="1"/>
      <c r="C2" s="5" t="s">
        <v>1241</v>
      </c>
      <c r="D2" s="5" t="s">
        <v>1242</v>
      </c>
      <c r="E2" s="5" t="s">
        <v>1243</v>
      </c>
      <c r="F2" s="5" t="s">
        <v>1241</v>
      </c>
      <c r="G2" s="5" t="s">
        <v>1242</v>
      </c>
      <c r="H2" s="5" t="s">
        <v>1243</v>
      </c>
      <c r="I2" s="5" t="s">
        <v>1241</v>
      </c>
      <c r="J2" s="5" t="s">
        <v>1242</v>
      </c>
      <c r="K2" s="5" t="s">
        <v>1243</v>
      </c>
      <c r="L2" s="5" t="s">
        <v>1241</v>
      </c>
      <c r="M2" s="5" t="s">
        <v>1242</v>
      </c>
      <c r="N2" s="5" t="s">
        <v>1243</v>
      </c>
      <c r="O2" s="5" t="s">
        <v>1241</v>
      </c>
      <c r="P2" s="5" t="s">
        <v>1242</v>
      </c>
      <c r="Q2" s="5" t="s">
        <v>1243</v>
      </c>
      <c r="R2" s="5" t="s">
        <v>1241</v>
      </c>
      <c r="S2" s="5" t="s">
        <v>1242</v>
      </c>
      <c r="T2" s="5" t="s">
        <v>1243</v>
      </c>
      <c r="U2" s="5" t="s">
        <v>1241</v>
      </c>
      <c r="V2" s="5" t="s">
        <v>1242</v>
      </c>
      <c r="W2" s="5" t="s">
        <v>1243</v>
      </c>
      <c r="X2" s="1" t="s">
        <v>1241</v>
      </c>
      <c r="Y2" s="2" t="s">
        <v>1242</v>
      </c>
      <c r="Z2" s="5" t="s">
        <v>1243</v>
      </c>
    </row>
    <row r="3" customHeight="1" ht="52.0">
      <c r="A3" s="3" t="n">
        <v>44067.0</v>
      </c>
      <c r="B3" s="1" t="s">
        <v>5</v>
      </c>
      <c r="C3" s="1"/>
      <c r="D3" s="1"/>
      <c r="E3" s="1"/>
      <c r="F3" s="1" t="s">
        <v>1244</v>
      </c>
      <c r="G3" s="1"/>
      <c r="H3" s="1"/>
      <c r="I3" s="5" t="s">
        <v>1245</v>
      </c>
      <c r="J3" s="1"/>
      <c r="K3" s="1"/>
      <c r="L3" s="5" t="s">
        <v>1246</v>
      </c>
      <c r="M3" s="5"/>
      <c r="N3" s="5"/>
      <c r="O3" s="1"/>
      <c r="P3" s="1"/>
      <c r="Q3" s="1"/>
      <c r="R3" s="40"/>
      <c r="S3" s="40"/>
      <c r="T3" s="40"/>
      <c r="U3" s="254"/>
      <c r="V3" s="40"/>
      <c r="W3" s="40"/>
      <c r="X3" s="255"/>
      <c r="Y3" s="2"/>
    </row>
    <row r="4" customHeight="1" ht="39.0">
      <c r="A4" s="3" t="n">
        <v>44068.0</v>
      </c>
      <c r="B4" s="1" t="s">
        <v>7</v>
      </c>
      <c r="C4" s="1"/>
      <c r="D4" s="1"/>
      <c r="E4" s="1"/>
      <c r="F4" s="5" t="s">
        <v>1247</v>
      </c>
      <c r="G4" s="1"/>
      <c r="H4" s="1"/>
      <c r="I4" s="5" t="s">
        <v>1248</v>
      </c>
      <c r="J4" s="1"/>
      <c r="K4" s="1"/>
      <c r="L4" s="5" t="s">
        <v>1246</v>
      </c>
      <c r="M4" s="5"/>
      <c r="N4" s="40"/>
      <c r="O4" s="1"/>
      <c r="P4" s="1"/>
      <c r="Q4" s="1"/>
      <c r="R4" s="40"/>
      <c r="S4" s="40"/>
      <c r="T4" s="2"/>
      <c r="U4" s="40"/>
      <c r="V4" s="40"/>
      <c r="W4" s="40"/>
      <c r="X4" s="255"/>
      <c r="Y4" s="2"/>
    </row>
    <row r="5" customHeight="1" ht="39.0">
      <c r="A5" s="3" t="n">
        <v>44069.0</v>
      </c>
      <c r="B5" s="1" t="s">
        <v>9</v>
      </c>
      <c r="C5" s="1" t="s">
        <v>1249</v>
      </c>
      <c r="D5" s="1" t="s">
        <v>1250</v>
      </c>
      <c r="E5" s="1" t="s">
        <v>118</v>
      </c>
      <c r="F5" s="5" t="s">
        <v>1251</v>
      </c>
      <c r="G5" s="1"/>
      <c r="H5" s="1"/>
      <c r="I5" s="5" t="s">
        <v>1252</v>
      </c>
      <c r="J5" s="1"/>
      <c r="K5" s="1"/>
      <c r="L5" s="5" t="s">
        <v>1246</v>
      </c>
      <c r="M5" s="40"/>
      <c r="N5" s="40"/>
      <c r="O5" s="1"/>
      <c r="P5" s="1"/>
      <c r="Q5" s="1"/>
      <c r="R5" s="40"/>
      <c r="S5" s="40"/>
      <c r="T5" s="40"/>
      <c r="U5" s="40"/>
      <c r="V5" s="40"/>
      <c r="W5" s="40"/>
      <c r="X5" s="1"/>
      <c r="Y5" s="2"/>
    </row>
    <row r="6" customHeight="1" ht="52.0">
      <c r="A6" s="3" t="n">
        <v>44070.0</v>
      </c>
      <c r="B6" s="1" t="s">
        <v>12</v>
      </c>
      <c r="C6" s="1" t="s">
        <v>1253</v>
      </c>
      <c r="D6" s="1"/>
      <c r="E6" s="1"/>
      <c r="F6" s="1" t="s">
        <v>1254</v>
      </c>
      <c r="G6" s="1" t="s">
        <v>1255</v>
      </c>
      <c r="H6" s="1"/>
      <c r="I6" s="5" t="s">
        <v>1256</v>
      </c>
      <c r="J6" s="1"/>
      <c r="K6" s="1"/>
      <c r="L6" s="5" t="s">
        <v>1246</v>
      </c>
      <c r="M6" s="1"/>
      <c r="N6" s="1"/>
      <c r="O6" s="1"/>
      <c r="P6" s="1"/>
      <c r="Q6" s="1"/>
      <c r="R6" s="40"/>
      <c r="S6" s="40"/>
      <c r="T6" s="40"/>
      <c r="U6" s="40"/>
      <c r="V6" s="40"/>
      <c r="W6" s="40"/>
      <c r="X6" s="1"/>
      <c r="Y6" s="2"/>
    </row>
    <row r="7" customHeight="1" ht="65.0">
      <c r="A7" s="3" t="n">
        <v>44071.0</v>
      </c>
      <c r="B7" s="1" t="s">
        <v>15</v>
      </c>
      <c r="C7" s="1"/>
      <c r="D7" s="1"/>
      <c r="E7" s="1"/>
      <c r="F7" s="1" t="s">
        <v>1257</v>
      </c>
      <c r="G7" s="1"/>
      <c r="H7" s="1"/>
      <c r="I7" s="5" t="s">
        <v>1258</v>
      </c>
      <c r="J7" s="1"/>
      <c r="K7" s="2"/>
      <c r="L7" s="5" t="s">
        <v>1246</v>
      </c>
      <c r="M7" s="1"/>
      <c r="N7" s="1"/>
      <c r="O7" s="1"/>
      <c r="P7" s="2"/>
      <c r="Q7" s="2"/>
      <c r="R7" s="2"/>
      <c r="S7" s="2"/>
      <c r="T7" s="2"/>
      <c r="U7" s="40"/>
      <c r="V7" s="2"/>
      <c r="W7" s="2"/>
      <c r="X7" s="2"/>
      <c r="Y7" s="2"/>
    </row>
    <row r="8" customHeight="1" ht="52.0">
      <c r="A8" s="3" t="n">
        <v>44072.0</v>
      </c>
      <c r="B8" s="1" t="s">
        <v>16</v>
      </c>
      <c r="C8" s="1"/>
      <c r="D8" s="1"/>
      <c r="E8" s="1"/>
      <c r="F8" s="2" t="s">
        <v>1257</v>
      </c>
      <c r="G8" s="2" t="s">
        <v>1259</v>
      </c>
      <c r="H8" s="2"/>
      <c r="I8" s="5" t="s">
        <v>1260</v>
      </c>
      <c r="J8" s="2"/>
      <c r="K8" s="2"/>
      <c r="L8" s="5" t="s">
        <v>1246</v>
      </c>
      <c r="M8" s="1"/>
      <c r="N8" s="1"/>
      <c r="O8" s="1"/>
      <c r="P8" s="2"/>
      <c r="Q8" s="2"/>
      <c r="R8" s="2"/>
      <c r="S8" s="2"/>
      <c r="T8" s="2"/>
      <c r="U8" s="40"/>
      <c r="V8" s="2"/>
      <c r="W8" s="2"/>
      <c r="X8" s="2"/>
      <c r="Y8" s="2"/>
    </row>
    <row r="9" customHeight="1" ht="39.0">
      <c r="A9" s="3" t="n">
        <v>44073.0</v>
      </c>
      <c r="B9" s="1" t="s">
        <v>19</v>
      </c>
      <c r="C9" s="1"/>
      <c r="D9" s="1"/>
      <c r="E9" s="1"/>
      <c r="F9" s="2" t="s">
        <v>1261</v>
      </c>
      <c r="G9" s="1"/>
      <c r="H9" s="2"/>
      <c r="I9" s="5"/>
      <c r="J9" s="2"/>
      <c r="K9" s="2"/>
      <c r="L9" s="5" t="s">
        <v>1246</v>
      </c>
      <c r="M9" s="1"/>
      <c r="N9" s="1"/>
      <c r="O9" s="1"/>
      <c r="P9" s="2"/>
      <c r="Q9" s="2"/>
      <c r="R9" s="2"/>
      <c r="S9" s="2"/>
      <c r="T9" s="2"/>
      <c r="U9" s="40"/>
      <c r="V9" s="2"/>
      <c r="W9" s="2"/>
      <c r="X9" s="2"/>
      <c r="Y9" s="2"/>
    </row>
    <row r="10">
      <c r="A10" s="4"/>
      <c r="B10" s="5"/>
      <c r="C10" s="5"/>
      <c r="D10" s="5"/>
      <c r="E10" s="1"/>
      <c r="F10" s="1" t="s">
        <v>1261</v>
      </c>
      <c r="G10" s="1"/>
      <c r="H10" s="1"/>
      <c r="I10" s="5"/>
      <c r="J10" s="1"/>
      <c r="K10" s="1"/>
      <c r="L10" s="5"/>
      <c r="M10" s="1"/>
      <c r="N10" s="1"/>
      <c r="O10" s="1"/>
      <c r="P10" s="1"/>
      <c r="Q10" s="1"/>
      <c r="R10" s="1"/>
      <c r="S10" s="1"/>
      <c r="T10" s="1"/>
      <c r="U10" s="40"/>
      <c r="V10" s="1"/>
      <c r="W10" s="1"/>
      <c r="X10" s="1"/>
    </row>
    <row r="11">
      <c r="A11" s="256" t="s">
        <v>21</v>
      </c>
      <c r="B11" s="89" t="s">
        <v>222</v>
      </c>
      <c r="C11" s="32" t="s">
        <v>134</v>
      </c>
      <c r="D11" s="5"/>
      <c r="E11" s="5"/>
      <c r="F11" s="15"/>
      <c r="G11" s="15"/>
      <c r="H11" s="5"/>
      <c r="I11" s="5"/>
      <c r="J11" s="15"/>
      <c r="K11" s="15"/>
      <c r="L11" s="5"/>
      <c r="M11" s="15"/>
      <c r="N11" s="15"/>
      <c r="O11" s="15"/>
      <c r="P11" s="15"/>
      <c r="Q11" s="15"/>
      <c r="R11" s="15"/>
      <c r="S11" s="15"/>
      <c r="T11" s="15"/>
      <c r="U11" s="40"/>
      <c r="V11" s="15"/>
      <c r="W11" s="15"/>
      <c r="X11" s="15"/>
      <c r="Y11" s="15"/>
      <c r="Z11" s="15"/>
    </row>
    <row r="12" customHeight="1" ht="52.0">
      <c r="A12" s="226" t="s">
        <v>1262</v>
      </c>
      <c r="B12" s="224" t="s">
        <v>1263</v>
      </c>
      <c r="C12" s="173" t="s">
        <v>1264</v>
      </c>
      <c r="D12" s="5"/>
      <c r="E12" s="5"/>
      <c r="F12" s="15"/>
      <c r="G12" s="15"/>
      <c r="H12" s="15"/>
      <c r="I12" s="5"/>
      <c r="J12" s="15"/>
      <c r="K12" s="15"/>
      <c r="L12" s="2"/>
      <c r="M12" s="15"/>
      <c r="N12" s="15"/>
      <c r="O12" s="15"/>
      <c r="P12" s="15"/>
      <c r="Q12" s="15"/>
      <c r="R12" s="15"/>
      <c r="S12" s="15"/>
      <c r="T12" s="15"/>
      <c r="U12" s="15"/>
      <c r="V12" s="15"/>
      <c r="W12" s="15"/>
      <c r="X12" s="15"/>
      <c r="Y12" s="15"/>
      <c r="Z12" s="15"/>
    </row>
    <row r="13" customHeight="1" ht="65.0">
      <c r="A13" s="229" t="s">
        <v>1265</v>
      </c>
      <c r="B13" s="15" t="s">
        <v>1266</v>
      </c>
      <c r="C13" s="173" t="s">
        <v>1264</v>
      </c>
      <c r="D13" s="5"/>
      <c r="E13" s="5"/>
      <c r="F13" s="5"/>
      <c r="G13" s="5"/>
      <c r="H13" s="5"/>
      <c r="I13" s="5"/>
      <c r="J13" s="5"/>
      <c r="K13" s="5"/>
      <c r="L13" s="5"/>
      <c r="M13" s="5"/>
      <c r="N13" s="5"/>
      <c r="O13" s="5"/>
      <c r="P13" s="5"/>
      <c r="Q13" s="5"/>
      <c r="R13" s="5"/>
      <c r="S13" s="5"/>
      <c r="T13" s="5"/>
      <c r="U13" s="5"/>
      <c r="V13" s="5"/>
      <c r="W13" s="5"/>
      <c r="X13" s="5"/>
      <c r="Y13" s="15"/>
      <c r="Z13" s="15"/>
    </row>
    <row r="14">
      <c r="A14" s="257" t="s">
        <v>1267</v>
      </c>
      <c r="B14" s="48"/>
      <c r="C14" s="258"/>
      <c r="D14" s="5"/>
      <c r="E14" s="1"/>
      <c r="F14" s="2"/>
      <c r="G14" s="2"/>
      <c r="H14" s="2"/>
      <c r="I14" s="5"/>
      <c r="J14" s="2"/>
      <c r="K14" s="2"/>
      <c r="L14" s="5"/>
      <c r="M14" s="2"/>
      <c r="N14" s="2"/>
      <c r="O14" s="2"/>
      <c r="P14" s="2"/>
      <c r="Q14" s="2"/>
      <c r="R14" s="2"/>
      <c r="S14" s="2"/>
      <c r="T14" s="2"/>
      <c r="U14" s="2"/>
      <c r="V14" s="2"/>
      <c r="W14" s="2"/>
      <c r="X14" s="2"/>
    </row>
    <row r="15">
      <c r="A15" s="259" t="s">
        <v>1268</v>
      </c>
      <c r="B15" s="260" t="s">
        <v>1269</v>
      </c>
      <c r="C15" s="261"/>
      <c r="D15" s="40"/>
      <c r="E15" s="40"/>
      <c r="F15" s="40"/>
      <c r="G15" s="40"/>
      <c r="H15" s="40"/>
      <c r="I15" s="40"/>
      <c r="J15" s="40"/>
      <c r="K15" s="40"/>
      <c r="L15" s="40"/>
      <c r="M15" s="40"/>
      <c r="N15" s="40"/>
      <c r="O15" s="40"/>
      <c r="P15" s="40"/>
      <c r="Q15" s="40"/>
      <c r="R15" s="40"/>
      <c r="S15" s="40"/>
      <c r="T15" s="40"/>
      <c r="U15" s="40"/>
      <c r="V15" s="40"/>
      <c r="W15" s="40"/>
      <c r="X15" s="1"/>
    </row>
    <row r="16">
      <c r="C16" s="40"/>
      <c r="D16" s="40"/>
      <c r="E16" s="40"/>
      <c r="F16" s="40"/>
      <c r="G16" s="40"/>
      <c r="H16" s="40"/>
      <c r="I16" s="40"/>
      <c r="J16" s="40"/>
      <c r="K16" s="40"/>
      <c r="L16" s="40"/>
      <c r="M16" s="40"/>
      <c r="N16" s="40"/>
      <c r="O16" s="40"/>
      <c r="P16" s="40"/>
      <c r="Q16" s="40"/>
      <c r="R16" s="40"/>
      <c r="S16" s="40"/>
      <c r="T16" s="40"/>
      <c r="U16" s="40"/>
      <c r="V16" s="40"/>
      <c r="W16" s="40"/>
      <c r="X16" s="1"/>
    </row>
    <row r="17">
      <c r="C17" s="40"/>
      <c r="D17" s="40"/>
      <c r="E17" s="40"/>
      <c r="F17" s="40"/>
      <c r="G17" s="40"/>
      <c r="H17" s="40"/>
      <c r="I17" s="40"/>
      <c r="J17" s="40"/>
      <c r="K17" s="40"/>
      <c r="L17" s="40"/>
      <c r="M17" s="40"/>
      <c r="N17" s="40"/>
      <c r="O17" s="40"/>
      <c r="P17" s="40"/>
      <c r="Q17" s="40"/>
      <c r="R17" s="40"/>
      <c r="S17" s="40"/>
      <c r="T17" s="40"/>
      <c r="U17" s="40"/>
      <c r="V17" s="40"/>
      <c r="W17" s="40"/>
      <c r="X17" s="1"/>
    </row>
    <row r="18">
      <c r="A18" s="14" t="s">
        <v>30</v>
      </c>
      <c r="B18" s="14"/>
      <c r="C18" s="34"/>
      <c r="D18" s="34"/>
      <c r="E18" s="14"/>
      <c r="F18" s="14"/>
      <c r="G18" s="14"/>
      <c r="H18" s="14"/>
      <c r="I18" s="14"/>
      <c r="J18" s="14"/>
      <c r="K18" s="14"/>
      <c r="L18" s="14"/>
      <c r="M18" s="14"/>
      <c r="N18" s="14"/>
      <c r="O18" s="14"/>
      <c r="P18" s="14"/>
      <c r="Q18" s="14"/>
      <c r="R18" s="14"/>
      <c r="S18" s="14"/>
      <c r="T18" s="14"/>
      <c r="U18" s="14"/>
      <c r="V18" s="14"/>
      <c r="W18" s="14"/>
      <c r="X18" s="14"/>
      <c r="Y18" s="5"/>
      <c r="Z18" s="5"/>
    </row>
    <row r="19">
      <c r="A19" s="2" t="s">
        <v>102</v>
      </c>
      <c r="B19" s="2"/>
      <c r="C19" s="53" t="s">
        <v>2</v>
      </c>
      <c r="D19" s="53"/>
      <c r="E19" s="53"/>
      <c r="F19" s="40" t="s">
        <v>32</v>
      </c>
      <c r="G19" s="40"/>
      <c r="H19" s="40"/>
      <c r="I19" s="40" t="s">
        <v>3</v>
      </c>
      <c r="J19" s="40"/>
      <c r="K19" s="40"/>
      <c r="L19" s="40" t="s">
        <v>35</v>
      </c>
      <c r="M19" s="40"/>
      <c r="N19" s="40"/>
      <c r="O19" s="40" t="s">
        <v>4</v>
      </c>
      <c r="P19" s="40"/>
      <c r="Q19" s="40"/>
      <c r="R19" s="40" t="s">
        <v>34</v>
      </c>
      <c r="S19" s="40"/>
      <c r="T19" s="40"/>
      <c r="U19" s="40"/>
      <c r="V19" s="40"/>
      <c r="W19" s="40"/>
      <c r="X19" s="1"/>
    </row>
    <row r="20" customHeight="1" ht="39.0">
      <c r="A20" s="2" t="s">
        <v>406</v>
      </c>
      <c r="B20" s="2"/>
      <c r="C20" s="15" t="s">
        <v>1241</v>
      </c>
      <c r="D20" s="15" t="s">
        <v>1242</v>
      </c>
      <c r="E20" s="15" t="s">
        <v>1243</v>
      </c>
      <c r="F20" s="5" t="s">
        <v>1241</v>
      </c>
      <c r="G20" s="5" t="s">
        <v>1242</v>
      </c>
      <c r="H20" s="5" t="s">
        <v>1243</v>
      </c>
      <c r="I20" s="5" t="s">
        <v>1241</v>
      </c>
      <c r="J20" s="5" t="s">
        <v>1242</v>
      </c>
      <c r="K20" s="5" t="s">
        <v>1243</v>
      </c>
      <c r="L20" s="5" t="s">
        <v>1241</v>
      </c>
      <c r="M20" s="5" t="s">
        <v>1242</v>
      </c>
      <c r="N20" s="5" t="s">
        <v>1243</v>
      </c>
      <c r="O20" s="5" t="s">
        <v>1241</v>
      </c>
      <c r="P20" s="5" t="s">
        <v>1242</v>
      </c>
      <c r="Q20" s="5" t="s">
        <v>1243</v>
      </c>
      <c r="R20" s="5" t="s">
        <v>1241</v>
      </c>
      <c r="S20" s="5" t="s">
        <v>1242</v>
      </c>
      <c r="T20" s="5" t="s">
        <v>1243</v>
      </c>
      <c r="U20" s="5" t="s">
        <v>1241</v>
      </c>
      <c r="V20" s="5" t="s">
        <v>1242</v>
      </c>
      <c r="W20" s="5" t="s">
        <v>1243</v>
      </c>
      <c r="X20" s="1"/>
    </row>
    <row r="21" customHeight="1" ht="52.0">
      <c r="A21" s="17" t="n">
        <v>44018.0</v>
      </c>
      <c r="B21" s="5" t="s">
        <v>90</v>
      </c>
      <c r="C21" s="167" t="s">
        <v>1270</v>
      </c>
      <c r="D21" s="146" t="s">
        <v>1250</v>
      </c>
      <c r="E21" s="146" t="s">
        <v>118</v>
      </c>
      <c r="F21" s="262" t="s">
        <v>118</v>
      </c>
      <c r="G21" s="262"/>
      <c r="H21" s="262"/>
      <c r="I21" s="5" t="s">
        <v>1271</v>
      </c>
      <c r="J21" s="262" t="s">
        <v>1250</v>
      </c>
      <c r="K21" s="262" t="s">
        <v>118</v>
      </c>
      <c r="L21" s="263" t="s">
        <v>1272</v>
      </c>
      <c r="M21" s="12"/>
      <c r="N21" s="12"/>
      <c r="O21" s="262"/>
      <c r="P21" s="262"/>
      <c r="Q21" s="262"/>
      <c r="R21" s="5"/>
      <c r="S21" s="5"/>
      <c r="T21" s="5"/>
      <c r="U21" s="5"/>
      <c r="V21" s="5"/>
      <c r="W21" s="5"/>
      <c r="X21" s="1"/>
    </row>
    <row r="22" customHeight="1" ht="91.0">
      <c r="A22" s="17" t="n">
        <v>44019.0</v>
      </c>
      <c r="B22" s="5" t="s">
        <v>92</v>
      </c>
      <c r="C22" s="146" t="s">
        <v>1273</v>
      </c>
      <c r="D22" s="146" t="s">
        <v>1250</v>
      </c>
      <c r="E22" s="146" t="s">
        <v>118</v>
      </c>
      <c r="F22" s="264" t="s">
        <v>1274</v>
      </c>
      <c r="G22" s="5" t="s">
        <v>1275</v>
      </c>
      <c r="H22" s="5"/>
      <c r="I22" s="5" t="s">
        <v>1276</v>
      </c>
      <c r="J22" s="262" t="s">
        <v>1250</v>
      </c>
      <c r="K22" s="262" t="s">
        <v>118</v>
      </c>
      <c r="L22" s="5" t="s">
        <v>1277</v>
      </c>
      <c r="M22" s="12"/>
      <c r="N22" s="12"/>
      <c r="O22" s="13" t="s">
        <v>1278</v>
      </c>
      <c r="P22" s="13" t="s">
        <v>1279</v>
      </c>
      <c r="Q22" s="13" t="s">
        <v>1280</v>
      </c>
      <c r="R22" s="5" t="s">
        <v>1281</v>
      </c>
      <c r="S22" s="5"/>
      <c r="T22" s="5"/>
      <c r="U22" s="5"/>
      <c r="V22" s="5"/>
      <c r="W22" s="5"/>
      <c r="X22" s="1"/>
    </row>
    <row r="23" customHeight="1" ht="65.0">
      <c r="A23" s="17" t="n">
        <v>44020.0</v>
      </c>
      <c r="B23" s="5" t="s">
        <v>94</v>
      </c>
      <c r="C23" s="15" t="s">
        <v>1282</v>
      </c>
      <c r="D23" s="169" t="s">
        <v>1283</v>
      </c>
      <c r="E23" s="169" t="s">
        <v>118</v>
      </c>
      <c r="F23" s="5" t="s">
        <v>1284</v>
      </c>
      <c r="G23" s="5" t="s">
        <v>1285</v>
      </c>
      <c r="H23" s="5"/>
      <c r="I23" s="262" t="s">
        <v>1286</v>
      </c>
      <c r="J23" s="262" t="s">
        <v>1250</v>
      </c>
      <c r="K23" s="262" t="s">
        <v>118</v>
      </c>
      <c r="L23" s="263" t="s">
        <v>1287</v>
      </c>
      <c r="M23" s="12"/>
      <c r="N23" s="12"/>
      <c r="O23" s="262" t="s">
        <v>1288</v>
      </c>
      <c r="P23" s="262"/>
      <c r="Q23" s="262"/>
      <c r="R23" s="5"/>
      <c r="S23" s="5"/>
      <c r="T23" s="5"/>
      <c r="U23" s="5"/>
      <c r="V23" s="5"/>
      <c r="W23" s="5"/>
      <c r="X23" s="1"/>
    </row>
    <row r="24" customHeight="1" ht="52.0">
      <c r="A24" s="17" t="n">
        <v>44021.0</v>
      </c>
      <c r="B24" s="5" t="s">
        <v>96</v>
      </c>
      <c r="C24" s="146" t="s">
        <v>1289</v>
      </c>
      <c r="D24" s="169" t="s">
        <v>1290</v>
      </c>
      <c r="E24" s="169" t="s">
        <v>118</v>
      </c>
      <c r="F24" s="5" t="s">
        <v>1291</v>
      </c>
      <c r="G24" s="5"/>
      <c r="H24" s="5"/>
      <c r="I24" s="5" t="s">
        <v>1292</v>
      </c>
      <c r="J24" s="12" t="s">
        <v>1250</v>
      </c>
      <c r="K24" s="12" t="s">
        <v>118</v>
      </c>
      <c r="L24" s="263" t="s">
        <v>1287</v>
      </c>
      <c r="M24" s="12"/>
      <c r="N24" s="12"/>
      <c r="O24" s="5" t="s">
        <v>1293</v>
      </c>
      <c r="P24" s="5" t="s">
        <v>1294</v>
      </c>
      <c r="Q24" s="5" t="s">
        <v>1295</v>
      </c>
      <c r="R24" s="5"/>
      <c r="S24" s="5"/>
      <c r="T24" s="5"/>
      <c r="U24" s="5"/>
      <c r="V24" s="5"/>
      <c r="W24" s="5"/>
      <c r="X24" s="1"/>
    </row>
    <row r="25" customHeight="1" ht="91.0">
      <c r="A25" s="17" t="n">
        <v>44022.0</v>
      </c>
      <c r="B25" s="5" t="s">
        <v>98</v>
      </c>
      <c r="C25" s="146" t="s">
        <v>1296</v>
      </c>
      <c r="D25" s="15"/>
      <c r="E25" s="15"/>
      <c r="F25" s="5"/>
      <c r="G25" s="5"/>
      <c r="H25" s="5"/>
      <c r="I25" s="5" t="s">
        <v>1297</v>
      </c>
      <c r="J25" s="5" t="s">
        <v>1298</v>
      </c>
      <c r="K25" s="5" t="s">
        <v>118</v>
      </c>
      <c r="L25" s="263" t="s">
        <v>1299</v>
      </c>
      <c r="M25" s="5" t="s">
        <v>1300</v>
      </c>
      <c r="N25" s="5"/>
      <c r="O25" s="5" t="s">
        <v>1293</v>
      </c>
      <c r="P25" s="5" t="s">
        <v>1301</v>
      </c>
      <c r="Q25" s="5"/>
      <c r="R25" s="5"/>
      <c r="S25" s="5"/>
      <c r="T25" s="5"/>
      <c r="U25" s="5"/>
      <c r="V25" s="5"/>
      <c r="W25" s="5"/>
      <c r="X25" s="1"/>
    </row>
    <row r="26" customHeight="1" ht="65.0">
      <c r="A26" s="17" t="n">
        <v>44023.0</v>
      </c>
      <c r="B26" s="5" t="s">
        <v>100</v>
      </c>
      <c r="C26" s="15" t="s">
        <v>1302</v>
      </c>
      <c r="D26" s="15"/>
      <c r="E26" s="15"/>
      <c r="F26" s="5"/>
      <c r="G26" s="5"/>
      <c r="H26" s="5"/>
      <c r="I26" s="255" t="s">
        <v>1303</v>
      </c>
      <c r="J26" s="5" t="s">
        <v>1250</v>
      </c>
      <c r="K26" s="5" t="s">
        <v>118</v>
      </c>
      <c r="L26" s="263" t="s">
        <v>1304</v>
      </c>
      <c r="M26" s="5" t="s">
        <v>1305</v>
      </c>
      <c r="N26" s="5" t="s">
        <v>1306</v>
      </c>
      <c r="O26" s="5"/>
      <c r="P26" s="5"/>
      <c r="Q26" s="5"/>
      <c r="R26" s="5"/>
      <c r="S26" s="5"/>
      <c r="T26" s="5"/>
      <c r="U26" s="5"/>
      <c r="V26" s="5"/>
      <c r="W26" s="5"/>
      <c r="X26" s="1"/>
    </row>
    <row r="27" customHeight="1" ht="52.0">
      <c r="A27" s="17" t="n">
        <v>44024.0</v>
      </c>
      <c r="B27" s="5" t="s">
        <v>101</v>
      </c>
      <c r="C27" s="15" t="s">
        <v>1307</v>
      </c>
      <c r="D27" s="15"/>
      <c r="E27" s="15"/>
      <c r="F27" s="5"/>
      <c r="G27" s="5"/>
      <c r="H27" s="5"/>
      <c r="I27" s="5" t="s">
        <v>1308</v>
      </c>
      <c r="J27" s="5" t="s">
        <v>1250</v>
      </c>
      <c r="K27" s="5" t="s">
        <v>118</v>
      </c>
      <c r="L27" s="263" t="s">
        <v>1309</v>
      </c>
      <c r="M27" s="5" t="s">
        <v>1310</v>
      </c>
      <c r="N27" s="5"/>
      <c r="O27" s="5"/>
      <c r="P27" s="5"/>
      <c r="Q27" s="5"/>
      <c r="R27" s="5"/>
      <c r="S27" s="5"/>
      <c r="T27" s="5"/>
      <c r="U27" s="5"/>
      <c r="V27" s="5"/>
      <c r="W27" s="5"/>
      <c r="X27" s="1"/>
    </row>
    <row r="28">
      <c r="A28" s="4"/>
      <c r="B28" s="1"/>
      <c r="C28" s="255"/>
      <c r="D28" s="5"/>
      <c r="E28" s="5"/>
      <c r="F28" s="1"/>
      <c r="G28" s="1"/>
      <c r="H28" s="1"/>
      <c r="I28" s="5"/>
      <c r="J28" s="1"/>
      <c r="K28" s="1"/>
      <c r="L28" s="255"/>
      <c r="M28" s="40"/>
      <c r="N28" s="1"/>
      <c r="O28" s="1"/>
      <c r="P28" s="1"/>
      <c r="Q28" s="1"/>
      <c r="R28" s="1"/>
      <c r="S28" s="1"/>
      <c r="T28" s="1"/>
      <c r="U28" s="1"/>
      <c r="V28" s="1"/>
      <c r="W28" s="1"/>
      <c r="X28" s="1"/>
    </row>
    <row r="29" customHeight="1" ht="65.0">
      <c r="A29" s="17" t="n">
        <v>44025.0</v>
      </c>
      <c r="B29" s="5" t="s">
        <v>90</v>
      </c>
      <c r="C29" s="265" t="s">
        <v>1311</v>
      </c>
      <c r="D29" s="15"/>
      <c r="E29" s="15"/>
      <c r="F29" s="2"/>
      <c r="G29" s="2"/>
      <c r="H29" s="2"/>
      <c r="I29" s="15" t="s">
        <v>1312</v>
      </c>
      <c r="J29" s="2"/>
      <c r="K29" s="2"/>
      <c r="L29" s="263" t="s">
        <v>1313</v>
      </c>
      <c r="M29" s="2"/>
      <c r="N29" s="2"/>
      <c r="O29" s="2"/>
      <c r="P29" s="2"/>
      <c r="Q29" s="2"/>
      <c r="R29" s="2"/>
      <c r="S29" s="2"/>
      <c r="T29" s="2"/>
      <c r="U29" s="2"/>
      <c r="V29" s="2"/>
      <c r="W29" s="2"/>
      <c r="X29" s="2"/>
    </row>
    <row r="30" customHeight="1" ht="91.0">
      <c r="A30" s="17" t="n">
        <v>44026.0</v>
      </c>
      <c r="B30" s="5" t="s">
        <v>92</v>
      </c>
      <c r="C30" s="5" t="s">
        <v>1314</v>
      </c>
      <c r="D30" s="5"/>
      <c r="E30" s="5"/>
      <c r="F30" s="1"/>
      <c r="G30" s="1"/>
      <c r="H30" s="1"/>
      <c r="I30" s="5" t="s">
        <v>1315</v>
      </c>
      <c r="J30" s="1"/>
      <c r="K30" s="1"/>
      <c r="L30" s="255" t="s">
        <v>1316</v>
      </c>
      <c r="M30" s="1"/>
      <c r="N30" s="2"/>
      <c r="O30" s="2"/>
      <c r="P30" s="2"/>
      <c r="Q30" s="2"/>
      <c r="R30" s="2"/>
      <c r="S30" s="2"/>
      <c r="T30" s="2"/>
      <c r="U30" s="2"/>
      <c r="V30" s="2"/>
      <c r="W30" s="2"/>
      <c r="X30" s="2"/>
    </row>
    <row r="31" customHeight="1" ht="78.0">
      <c r="A31" s="17" t="n">
        <v>44027.0</v>
      </c>
      <c r="B31" s="5" t="s">
        <v>94</v>
      </c>
      <c r="C31" s="5"/>
      <c r="D31" s="5"/>
      <c r="E31" s="5"/>
      <c r="F31" s="1"/>
      <c r="G31" s="1"/>
      <c r="H31" s="1"/>
      <c r="I31" s="5" t="s">
        <v>1317</v>
      </c>
      <c r="J31" s="1"/>
      <c r="K31" s="1"/>
      <c r="L31" s="255" t="s">
        <v>1318</v>
      </c>
      <c r="M31" s="1"/>
      <c r="N31" s="2"/>
      <c r="O31" s="2"/>
      <c r="P31" s="2"/>
      <c r="Q31" s="2"/>
      <c r="R31" s="2"/>
      <c r="S31" s="2"/>
      <c r="T31" s="2"/>
      <c r="U31" s="2"/>
      <c r="V31" s="2"/>
      <c r="W31" s="2"/>
      <c r="X31" s="2"/>
    </row>
    <row r="32" customHeight="1" ht="65.0">
      <c r="A32" s="17" t="n">
        <v>44028.0</v>
      </c>
      <c r="B32" s="5" t="s">
        <v>96</v>
      </c>
      <c r="C32" s="5"/>
      <c r="D32" s="5"/>
      <c r="E32" s="5"/>
      <c r="F32" s="1"/>
      <c r="G32" s="1"/>
      <c r="H32" s="1"/>
      <c r="I32" s="5" t="s">
        <v>1319</v>
      </c>
      <c r="J32" s="1"/>
      <c r="K32" s="1"/>
      <c r="L32" s="255" t="s">
        <v>1320</v>
      </c>
      <c r="M32" s="1"/>
      <c r="N32" s="2"/>
      <c r="O32" s="2"/>
      <c r="P32" s="2"/>
      <c r="Q32" s="2"/>
      <c r="R32" s="2"/>
      <c r="S32" s="2"/>
      <c r="T32" s="2"/>
      <c r="U32" s="2"/>
      <c r="V32" s="2"/>
      <c r="W32" s="2"/>
      <c r="X32" s="2"/>
    </row>
    <row r="33" customHeight="1" ht="65.0">
      <c r="A33" s="17" t="n">
        <v>44029.0</v>
      </c>
      <c r="B33" s="5" t="s">
        <v>98</v>
      </c>
      <c r="C33" s="5" t="s">
        <v>1321</v>
      </c>
      <c r="D33" s="5"/>
      <c r="E33" s="5"/>
      <c r="F33" s="1"/>
      <c r="G33" s="1"/>
      <c r="H33" s="1"/>
      <c r="I33" s="5" t="s">
        <v>1322</v>
      </c>
      <c r="J33" s="1"/>
      <c r="K33" s="1"/>
      <c r="L33" s="255" t="s">
        <v>1318</v>
      </c>
      <c r="M33" s="1"/>
      <c r="N33" s="2"/>
      <c r="O33" s="2"/>
      <c r="P33" s="2"/>
      <c r="Q33" s="2"/>
      <c r="R33" s="2"/>
      <c r="S33" s="2"/>
      <c r="T33" s="2"/>
      <c r="U33" s="2"/>
      <c r="V33" s="2"/>
      <c r="W33" s="2"/>
      <c r="X33" s="2"/>
    </row>
    <row r="34" customHeight="1" ht="78.0">
      <c r="A34" s="17" t="n">
        <v>44030.0</v>
      </c>
      <c r="B34" s="5" t="s">
        <v>100</v>
      </c>
      <c r="C34" s="5" t="s">
        <v>1323</v>
      </c>
      <c r="D34" s="5"/>
      <c r="E34" s="5"/>
      <c r="F34" s="1"/>
      <c r="G34" s="1"/>
      <c r="H34" s="1"/>
      <c r="I34" s="5" t="s">
        <v>1324</v>
      </c>
      <c r="J34" s="1"/>
      <c r="K34" s="1"/>
      <c r="L34" s="255" t="s">
        <v>1325</v>
      </c>
      <c r="M34" s="1"/>
      <c r="N34" s="2"/>
      <c r="O34" s="2"/>
      <c r="P34" s="2"/>
      <c r="Q34" s="2"/>
      <c r="R34" s="2"/>
      <c r="S34" s="2"/>
      <c r="T34" s="2"/>
      <c r="U34" s="2"/>
      <c r="V34" s="2"/>
      <c r="W34" s="2"/>
      <c r="X34" s="2"/>
    </row>
    <row r="35" customHeight="1" ht="39.0">
      <c r="A35" s="17" t="n">
        <v>44031.0</v>
      </c>
      <c r="B35" s="5" t="s">
        <v>101</v>
      </c>
      <c r="C35" s="5"/>
      <c r="D35" s="5"/>
      <c r="E35" s="5"/>
      <c r="F35" s="1"/>
      <c r="G35" s="1"/>
      <c r="H35" s="1"/>
      <c r="I35" s="5" t="s">
        <v>1326</v>
      </c>
      <c r="J35" s="1"/>
      <c r="K35" s="1"/>
      <c r="L35" s="255" t="s">
        <v>1327</v>
      </c>
      <c r="M35" s="1" t="s">
        <v>1328</v>
      </c>
      <c r="N35" s="2"/>
      <c r="O35" s="2"/>
      <c r="P35" s="2"/>
      <c r="Q35" s="2"/>
      <c r="R35" s="2"/>
      <c r="S35" s="2"/>
      <c r="T35" s="2"/>
      <c r="U35" s="2"/>
      <c r="V35" s="2"/>
      <c r="W35" s="2"/>
      <c r="X35" s="2"/>
    </row>
    <row r="36">
      <c r="A36" s="2"/>
      <c r="B36" s="2"/>
      <c r="C36" s="15"/>
      <c r="D36" s="15"/>
      <c r="E36" s="15"/>
      <c r="F36" s="2"/>
      <c r="G36" s="2"/>
      <c r="H36" s="2"/>
      <c r="I36" s="2"/>
      <c r="J36" s="2"/>
      <c r="K36" s="2"/>
      <c r="L36" s="2"/>
      <c r="M36" s="2"/>
      <c r="N36" s="2"/>
      <c r="O36" s="2"/>
      <c r="P36" s="2"/>
      <c r="Q36" s="2"/>
      <c r="R36" s="2"/>
      <c r="S36" s="2"/>
      <c r="T36" s="2"/>
      <c r="U36" s="2"/>
      <c r="V36" s="2"/>
      <c r="W36" s="2"/>
      <c r="X36" s="2"/>
    </row>
    <row r="37">
      <c r="A37" s="2"/>
      <c r="B37" s="2"/>
      <c r="C37" s="15"/>
      <c r="D37" s="15"/>
      <c r="E37" s="15"/>
      <c r="F37" s="2"/>
      <c r="G37" s="2"/>
      <c r="H37" s="2"/>
      <c r="I37" s="2"/>
      <c r="J37" s="2"/>
      <c r="K37" s="2"/>
      <c r="L37" s="2"/>
      <c r="M37" s="2"/>
      <c r="N37" s="2"/>
      <c r="O37" s="2"/>
      <c r="P37" s="2"/>
      <c r="Q37" s="2"/>
      <c r="R37" s="2"/>
      <c r="S37" s="2"/>
      <c r="T37" s="2"/>
      <c r="U37" s="2"/>
      <c r="V37" s="2"/>
      <c r="W37" s="2"/>
      <c r="X37" s="2"/>
    </row>
    <row r="38">
      <c r="A38" s="5" t="s">
        <v>102</v>
      </c>
      <c r="B38" s="5"/>
      <c r="C38" s="40" t="s">
        <v>2</v>
      </c>
      <c r="D38" s="40"/>
      <c r="E38" s="40"/>
      <c r="F38" s="40"/>
      <c r="G38" s="40"/>
      <c r="H38" s="40"/>
      <c r="I38" s="40" t="s">
        <v>3</v>
      </c>
      <c r="J38" s="40"/>
      <c r="K38" s="40"/>
      <c r="L38" s="40" t="s">
        <v>35</v>
      </c>
      <c r="M38" s="40"/>
      <c r="N38" s="40"/>
      <c r="O38" s="40"/>
      <c r="P38" s="40"/>
      <c r="Q38" s="40"/>
      <c r="R38" s="40"/>
      <c r="S38" s="40"/>
      <c r="T38" s="40"/>
      <c r="U38" s="40" t="s">
        <v>1329</v>
      </c>
      <c r="V38" s="40"/>
      <c r="W38" s="40"/>
      <c r="X38" s="1"/>
      <c r="Y38" s="2"/>
      <c r="Z38" s="2"/>
    </row>
    <row r="39" customHeight="1" ht="39.0">
      <c r="A39" s="5" t="s">
        <v>406</v>
      </c>
      <c r="B39" s="5"/>
      <c r="C39" s="5" t="s">
        <v>1241</v>
      </c>
      <c r="D39" s="5" t="s">
        <v>1242</v>
      </c>
      <c r="E39" s="5" t="s">
        <v>1243</v>
      </c>
      <c r="F39" s="5" t="s">
        <v>1241</v>
      </c>
      <c r="G39" s="5" t="s">
        <v>1242</v>
      </c>
      <c r="H39" s="5" t="s">
        <v>1243</v>
      </c>
      <c r="I39" s="5" t="s">
        <v>1241</v>
      </c>
      <c r="J39" s="5" t="s">
        <v>1242</v>
      </c>
      <c r="K39" s="5" t="s">
        <v>1243</v>
      </c>
      <c r="L39" s="5" t="s">
        <v>1241</v>
      </c>
      <c r="M39" s="5" t="s">
        <v>1242</v>
      </c>
      <c r="N39" s="5" t="s">
        <v>1243</v>
      </c>
      <c r="O39" s="5" t="s">
        <v>1241</v>
      </c>
      <c r="P39" s="5" t="s">
        <v>1242</v>
      </c>
      <c r="Q39" s="5" t="s">
        <v>1243</v>
      </c>
      <c r="R39" s="5" t="s">
        <v>1241</v>
      </c>
      <c r="S39" s="5" t="s">
        <v>1242</v>
      </c>
      <c r="T39" s="5" t="s">
        <v>1243</v>
      </c>
      <c r="U39" s="5" t="s">
        <v>1241</v>
      </c>
      <c r="V39" s="5" t="s">
        <v>1242</v>
      </c>
      <c r="W39" s="5" t="s">
        <v>1243</v>
      </c>
      <c r="X39" s="1"/>
      <c r="Y39" s="2"/>
      <c r="Z39" s="2"/>
    </row>
    <row r="40" customHeight="1" ht="65.0">
      <c r="A40" s="232" t="n">
        <v>44032.0</v>
      </c>
      <c r="B40" s="5" t="s">
        <v>90</v>
      </c>
      <c r="C40" s="5" t="s">
        <v>1330</v>
      </c>
      <c r="D40" s="5" t="s">
        <v>1331</v>
      </c>
      <c r="E40" s="5" t="s">
        <v>118</v>
      </c>
      <c r="F40" s="5"/>
      <c r="G40" s="5"/>
      <c r="H40" s="5"/>
      <c r="I40" s="5" t="s">
        <v>1332</v>
      </c>
      <c r="J40" s="5"/>
      <c r="K40" s="5"/>
      <c r="L40" s="255" t="s">
        <v>1320</v>
      </c>
      <c r="M40" s="5"/>
      <c r="N40" s="40"/>
      <c r="O40" s="40"/>
      <c r="P40" s="40"/>
      <c r="Q40" s="40"/>
      <c r="R40" s="40"/>
      <c r="S40" s="40"/>
      <c r="T40" s="40"/>
      <c r="U40" s="40" t="s">
        <v>1333</v>
      </c>
      <c r="V40" s="40"/>
      <c r="W40" s="40"/>
      <c r="X40" s="1"/>
      <c r="Y40" s="2"/>
      <c r="Z40" s="2"/>
    </row>
    <row r="41" customHeight="1" ht="39.0">
      <c r="A41" s="232" t="n">
        <v>44033.0</v>
      </c>
      <c r="B41" s="5" t="s">
        <v>92</v>
      </c>
      <c r="C41" s="255" t="s">
        <v>1334</v>
      </c>
      <c r="D41" s="5" t="s">
        <v>1250</v>
      </c>
      <c r="E41" s="5" t="s">
        <v>118</v>
      </c>
      <c r="F41" s="5"/>
      <c r="G41" s="5"/>
      <c r="H41" s="5"/>
      <c r="I41" s="5" t="s">
        <v>1335</v>
      </c>
      <c r="J41" s="5"/>
      <c r="K41" s="5"/>
      <c r="L41" s="5" t="s">
        <v>1336</v>
      </c>
      <c r="M41" s="5"/>
      <c r="N41" s="5"/>
      <c r="O41" s="5"/>
      <c r="P41" s="5"/>
      <c r="Q41" s="5"/>
      <c r="R41" s="5"/>
      <c r="S41" s="5"/>
      <c r="T41" s="5"/>
      <c r="U41" s="5"/>
      <c r="V41" s="5"/>
      <c r="W41" s="5"/>
      <c r="X41" s="1"/>
      <c r="Y41" s="2"/>
      <c r="Z41" s="2"/>
    </row>
    <row r="42" customHeight="1" ht="26.0">
      <c r="A42" s="232" t="n">
        <v>44034.0</v>
      </c>
      <c r="B42" s="5" t="s">
        <v>94</v>
      </c>
      <c r="C42" s="5"/>
      <c r="D42" s="5"/>
      <c r="E42" s="5"/>
      <c r="F42" s="5"/>
      <c r="G42" s="5"/>
      <c r="H42" s="5"/>
      <c r="I42" s="5" t="s">
        <v>1337</v>
      </c>
      <c r="J42" s="5"/>
      <c r="K42" s="5"/>
      <c r="L42" s="5" t="s">
        <v>1338</v>
      </c>
      <c r="M42" s="5" t="s">
        <v>1339</v>
      </c>
      <c r="N42" s="5"/>
      <c r="O42" s="5"/>
      <c r="P42" s="5"/>
      <c r="Q42" s="5"/>
      <c r="R42" s="5"/>
      <c r="S42" s="5"/>
      <c r="T42" s="5"/>
      <c r="U42" s="5"/>
      <c r="V42" s="5"/>
      <c r="W42" s="5"/>
      <c r="X42" s="1"/>
      <c r="Y42" s="2"/>
      <c r="Z42" s="2"/>
    </row>
    <row r="43" customHeight="1" ht="65.0">
      <c r="A43" s="232" t="n">
        <v>44035.0</v>
      </c>
      <c r="B43" s="5" t="s">
        <v>96</v>
      </c>
      <c r="C43" s="5" t="s">
        <v>1340</v>
      </c>
      <c r="D43" s="5"/>
      <c r="E43" s="5"/>
      <c r="F43" s="5"/>
      <c r="G43" s="5"/>
      <c r="H43" s="5"/>
      <c r="I43" s="5" t="s">
        <v>1341</v>
      </c>
      <c r="J43" s="5"/>
      <c r="K43" s="5"/>
      <c r="L43" s="5" t="s">
        <v>1338</v>
      </c>
      <c r="M43" s="5" t="s">
        <v>1342</v>
      </c>
      <c r="N43" s="5"/>
      <c r="O43" s="5"/>
      <c r="P43" s="5"/>
      <c r="Q43" s="5"/>
      <c r="R43" s="5"/>
      <c r="S43" s="5"/>
      <c r="T43" s="5"/>
      <c r="U43" s="5"/>
      <c r="V43" s="5"/>
      <c r="W43" s="5"/>
      <c r="X43" s="1"/>
      <c r="Y43" s="2"/>
      <c r="Z43" s="2"/>
    </row>
    <row r="44" customHeight="1" ht="78.0">
      <c r="A44" s="232" t="n">
        <v>44036.0</v>
      </c>
      <c r="B44" s="5" t="s">
        <v>98</v>
      </c>
      <c r="C44" s="5" t="s">
        <v>1343</v>
      </c>
      <c r="D44" s="5"/>
      <c r="E44" s="5"/>
      <c r="F44" s="5"/>
      <c r="G44" s="5"/>
      <c r="H44" s="5"/>
      <c r="I44" s="5" t="s">
        <v>1344</v>
      </c>
      <c r="J44" s="5"/>
      <c r="K44" s="5"/>
      <c r="L44" s="5" t="s">
        <v>1336</v>
      </c>
      <c r="M44" s="5" t="s">
        <v>1345</v>
      </c>
      <c r="N44" s="5"/>
      <c r="O44" s="5"/>
      <c r="P44" s="5"/>
      <c r="Q44" s="5"/>
      <c r="R44" s="5"/>
      <c r="S44" s="5"/>
      <c r="T44" s="5"/>
      <c r="U44" s="40" t="s">
        <v>1346</v>
      </c>
      <c r="V44" s="5"/>
      <c r="W44" s="5"/>
      <c r="X44" s="1"/>
      <c r="Y44" s="2"/>
      <c r="Z44" s="2"/>
    </row>
    <row r="45" customHeight="1" ht="26.0">
      <c r="A45" s="232" t="n">
        <v>44037.0</v>
      </c>
      <c r="B45" s="5" t="s">
        <v>100</v>
      </c>
      <c r="C45" s="255" t="s">
        <v>1347</v>
      </c>
      <c r="D45" s="5"/>
      <c r="E45" s="5"/>
      <c r="F45" s="5"/>
      <c r="G45" s="5"/>
      <c r="H45" s="5"/>
      <c r="I45" s="5"/>
      <c r="J45" s="5"/>
      <c r="K45" s="5"/>
      <c r="L45" s="5" t="s">
        <v>1336</v>
      </c>
      <c r="M45" s="5"/>
      <c r="N45" s="5"/>
      <c r="O45" s="5"/>
      <c r="P45" s="5"/>
      <c r="Q45" s="5"/>
      <c r="R45" s="5"/>
      <c r="S45" s="5"/>
      <c r="T45" s="5"/>
      <c r="U45" s="5"/>
      <c r="V45" s="5"/>
      <c r="W45" s="5"/>
      <c r="X45" s="1"/>
      <c r="Y45" s="2"/>
      <c r="Z45" s="2"/>
    </row>
    <row r="46" customHeight="1" ht="260.0">
      <c r="A46" s="232" t="n">
        <v>44038.0</v>
      </c>
      <c r="B46" s="5" t="s">
        <v>101</v>
      </c>
      <c r="C46" s="255" t="s">
        <v>1348</v>
      </c>
      <c r="D46" s="5"/>
      <c r="E46" s="5"/>
      <c r="F46" s="5"/>
      <c r="G46" s="5"/>
      <c r="H46" s="5"/>
      <c r="I46" s="5" t="s">
        <v>1349</v>
      </c>
      <c r="J46" s="5"/>
      <c r="K46" s="5"/>
      <c r="L46" s="5" t="s">
        <v>1338</v>
      </c>
      <c r="M46" s="5" t="s">
        <v>1350</v>
      </c>
      <c r="N46" s="5"/>
      <c r="O46" s="5"/>
      <c r="P46" s="5"/>
      <c r="Q46" s="5"/>
      <c r="R46" s="5"/>
      <c r="S46" s="5"/>
      <c r="T46" s="5"/>
      <c r="U46" s="5"/>
      <c r="V46" s="5"/>
      <c r="W46" s="5"/>
      <c r="X46" s="1"/>
      <c r="Y46" s="2"/>
      <c r="Z46" s="2"/>
    </row>
    <row r="47">
      <c r="A47" s="2"/>
      <c r="B47" s="2"/>
      <c r="C47" s="15"/>
      <c r="D47" s="15"/>
      <c r="E47" s="15"/>
      <c r="F47" s="2"/>
      <c r="G47" s="2"/>
      <c r="H47" s="2"/>
      <c r="I47" s="2"/>
      <c r="J47" s="2"/>
      <c r="K47" s="2"/>
      <c r="L47" s="2"/>
      <c r="M47" s="2"/>
      <c r="N47" s="2"/>
      <c r="O47" s="2"/>
      <c r="P47" s="2"/>
      <c r="Q47" s="2"/>
      <c r="R47" s="2"/>
      <c r="S47" s="2"/>
      <c r="T47" s="2"/>
      <c r="U47" s="2"/>
      <c r="V47" s="2"/>
      <c r="W47" s="2"/>
      <c r="X47" s="2"/>
    </row>
    <row r="48">
      <c r="A48" s="2"/>
      <c r="B48" s="2"/>
      <c r="C48" s="15"/>
      <c r="D48" s="15"/>
      <c r="E48" s="15"/>
      <c r="F48" s="2"/>
      <c r="G48" s="2"/>
      <c r="H48" s="2"/>
      <c r="I48" s="2"/>
      <c r="J48" s="2"/>
      <c r="K48" s="2"/>
      <c r="L48" s="2"/>
      <c r="M48" s="2"/>
      <c r="N48" s="2"/>
      <c r="O48" s="2"/>
      <c r="P48" s="2"/>
      <c r="Q48" s="2"/>
      <c r="R48" s="2"/>
      <c r="S48" s="2"/>
      <c r="T48" s="2"/>
      <c r="U48" s="2"/>
      <c r="V48" s="2"/>
      <c r="W48" s="2"/>
      <c r="X48" s="2"/>
    </row>
    <row r="49">
      <c r="A49" s="171" t="s">
        <v>102</v>
      </c>
      <c r="B49" s="7" t="s">
        <v>1</v>
      </c>
      <c r="C49" s="43" t="s">
        <v>2</v>
      </c>
      <c r="D49" s="43"/>
      <c r="E49" s="43"/>
      <c r="F49" s="43" t="s">
        <v>34</v>
      </c>
      <c r="G49" s="43"/>
      <c r="H49" s="43"/>
      <c r="I49" s="43" t="s">
        <v>35</v>
      </c>
      <c r="J49" s="43"/>
      <c r="K49" s="43"/>
      <c r="L49" s="43" t="s">
        <v>4</v>
      </c>
      <c r="M49" s="43"/>
      <c r="N49" s="43"/>
      <c r="O49" s="43" t="s">
        <v>3</v>
      </c>
      <c r="P49" s="43"/>
      <c r="Q49" s="43"/>
      <c r="R49" s="43" t="s">
        <v>103</v>
      </c>
      <c r="S49" s="43"/>
      <c r="T49" s="43"/>
      <c r="U49" s="67" t="s">
        <v>167</v>
      </c>
      <c r="V49" s="67"/>
      <c r="W49" s="266"/>
      <c r="X49" s="2"/>
      <c r="Y49" s="2"/>
      <c r="Z49" s="2"/>
    </row>
    <row r="50" customHeight="1" ht="39.0">
      <c r="A50" s="172" t="s">
        <v>406</v>
      </c>
      <c r="B50" s="1"/>
      <c r="C50" s="5" t="s">
        <v>1241</v>
      </c>
      <c r="D50" s="5" t="s">
        <v>1242</v>
      </c>
      <c r="E50" s="5" t="s">
        <v>1243</v>
      </c>
      <c r="F50" s="5" t="s">
        <v>1241</v>
      </c>
      <c r="G50" s="5" t="s">
        <v>1242</v>
      </c>
      <c r="H50" s="5" t="s">
        <v>1243</v>
      </c>
      <c r="I50" s="5" t="s">
        <v>1241</v>
      </c>
      <c r="J50" s="5" t="s">
        <v>1242</v>
      </c>
      <c r="K50" s="5" t="s">
        <v>1243</v>
      </c>
      <c r="L50" s="5" t="s">
        <v>1241</v>
      </c>
      <c r="M50" s="5" t="s">
        <v>1242</v>
      </c>
      <c r="N50" s="5" t="s">
        <v>1243</v>
      </c>
      <c r="O50" s="5" t="s">
        <v>1241</v>
      </c>
      <c r="P50" s="5" t="s">
        <v>1242</v>
      </c>
      <c r="Q50" s="5" t="s">
        <v>1243</v>
      </c>
      <c r="R50" s="5" t="s">
        <v>1241</v>
      </c>
      <c r="S50" s="5" t="s">
        <v>1242</v>
      </c>
      <c r="T50" s="5" t="s">
        <v>1243</v>
      </c>
      <c r="U50" s="1" t="s">
        <v>1241</v>
      </c>
      <c r="V50" s="1" t="s">
        <v>1242</v>
      </c>
      <c r="W50" s="173" t="s">
        <v>1243</v>
      </c>
      <c r="X50" s="2"/>
      <c r="Y50" s="2"/>
      <c r="Z50" s="2"/>
    </row>
    <row r="51" customHeight="1" ht="91.0">
      <c r="A51" s="176" t="n">
        <v>44039.0</v>
      </c>
      <c r="B51" s="1" t="s">
        <v>90</v>
      </c>
      <c r="C51" s="40" t="s">
        <v>1351</v>
      </c>
      <c r="D51" s="49" t="s">
        <v>1250</v>
      </c>
      <c r="E51" s="49" t="s">
        <v>118</v>
      </c>
      <c r="F51" s="40" t="s">
        <v>1352</v>
      </c>
      <c r="G51" s="40"/>
      <c r="H51" s="40"/>
      <c r="I51" s="40"/>
      <c r="J51" s="40"/>
      <c r="K51" s="40"/>
      <c r="L51" s="40" t="s">
        <v>1353</v>
      </c>
      <c r="M51" s="40" t="s">
        <v>1354</v>
      </c>
      <c r="N51" s="40" t="s">
        <v>1355</v>
      </c>
      <c r="O51" s="40" t="s">
        <v>1356</v>
      </c>
      <c r="P51" s="40" t="s">
        <v>1250</v>
      </c>
      <c r="Q51" s="40" t="s">
        <v>118</v>
      </c>
      <c r="R51" s="40" t="s">
        <v>1357</v>
      </c>
      <c r="S51" s="40"/>
      <c r="T51" s="40"/>
      <c r="U51" s="255" t="s">
        <v>1358</v>
      </c>
      <c r="V51" s="1" t="s">
        <v>1250</v>
      </c>
      <c r="W51" s="175"/>
      <c r="X51" s="2"/>
      <c r="Y51" s="2"/>
      <c r="Z51" s="2"/>
    </row>
    <row r="52" customHeight="1" ht="65.0">
      <c r="A52" s="176" t="n">
        <v>44040.0</v>
      </c>
      <c r="B52" s="1" t="s">
        <v>92</v>
      </c>
      <c r="C52" s="40" t="s">
        <v>1359</v>
      </c>
      <c r="D52" s="40" t="s">
        <v>1250</v>
      </c>
      <c r="E52" s="40" t="s">
        <v>118</v>
      </c>
      <c r="F52" s="40"/>
      <c r="G52" s="40"/>
      <c r="H52" s="40"/>
      <c r="I52" s="40" t="s">
        <v>1360</v>
      </c>
      <c r="J52" s="40"/>
      <c r="K52" s="40"/>
      <c r="L52" s="40" t="s">
        <v>1361</v>
      </c>
      <c r="M52" s="40"/>
      <c r="N52" s="40"/>
      <c r="O52" s="40" t="s">
        <v>1362</v>
      </c>
      <c r="P52" s="40" t="s">
        <v>1250</v>
      </c>
      <c r="Q52" s="40" t="s">
        <v>118</v>
      </c>
      <c r="R52" s="40" t="s">
        <v>1363</v>
      </c>
      <c r="S52" s="40"/>
      <c r="T52" s="40"/>
      <c r="U52" s="255" t="s">
        <v>1364</v>
      </c>
      <c r="V52" s="1" t="s">
        <v>1250</v>
      </c>
      <c r="W52" s="175"/>
      <c r="X52" s="2"/>
      <c r="Y52" s="2"/>
      <c r="Z52" s="2"/>
    </row>
    <row r="53" customHeight="1" ht="65.0">
      <c r="A53" s="176" t="n">
        <v>44041.0</v>
      </c>
      <c r="B53" s="1" t="s">
        <v>94</v>
      </c>
      <c r="C53" s="40" t="s">
        <v>1365</v>
      </c>
      <c r="D53" s="40" t="s">
        <v>1250</v>
      </c>
      <c r="E53" s="40" t="s">
        <v>1366</v>
      </c>
      <c r="F53" s="40"/>
      <c r="G53" s="40"/>
      <c r="H53" s="40"/>
      <c r="I53" s="40" t="s">
        <v>1367</v>
      </c>
      <c r="J53" s="40"/>
      <c r="K53" s="40"/>
      <c r="L53" s="40" t="s">
        <v>1368</v>
      </c>
      <c r="M53" s="40"/>
      <c r="N53" s="40"/>
      <c r="O53" s="40" t="s">
        <v>1369</v>
      </c>
      <c r="P53" s="40" t="s">
        <v>1250</v>
      </c>
      <c r="Q53" s="40" t="s">
        <v>118</v>
      </c>
      <c r="R53" s="40" t="s">
        <v>1363</v>
      </c>
      <c r="S53" s="40"/>
      <c r="T53" s="40"/>
      <c r="U53" s="1"/>
      <c r="V53" s="2"/>
      <c r="W53" s="175"/>
      <c r="X53" s="2"/>
      <c r="Y53" s="2"/>
      <c r="Z53" s="2"/>
    </row>
    <row r="54" customHeight="1" ht="78.0">
      <c r="A54" s="176" t="n">
        <v>44042.0</v>
      </c>
      <c r="B54" s="1" t="s">
        <v>96</v>
      </c>
      <c r="C54" s="40" t="s">
        <v>1370</v>
      </c>
      <c r="D54" s="40" t="s">
        <v>1250</v>
      </c>
      <c r="E54" s="40" t="s">
        <v>118</v>
      </c>
      <c r="F54" s="40"/>
      <c r="G54" s="40"/>
      <c r="H54" s="40"/>
      <c r="I54" s="40" t="s">
        <v>1371</v>
      </c>
      <c r="J54" s="40"/>
      <c r="K54" s="40"/>
      <c r="L54" s="40" t="s">
        <v>1372</v>
      </c>
      <c r="M54" s="40"/>
      <c r="N54" s="40"/>
      <c r="O54" s="40" t="s">
        <v>1373</v>
      </c>
      <c r="P54" s="40" t="s">
        <v>1250</v>
      </c>
      <c r="Q54" s="40" t="s">
        <v>118</v>
      </c>
      <c r="R54" s="40" t="s">
        <v>118</v>
      </c>
      <c r="S54" s="40" t="s">
        <v>1374</v>
      </c>
      <c r="T54" s="40"/>
      <c r="U54" s="1"/>
      <c r="V54" s="2"/>
      <c r="W54" s="175"/>
      <c r="X54" s="2"/>
      <c r="Y54" s="2"/>
      <c r="Z54" s="2"/>
    </row>
    <row r="55" customHeight="1" ht="78.0">
      <c r="A55" s="176" t="n">
        <v>44043.0</v>
      </c>
      <c r="B55" s="1" t="s">
        <v>98</v>
      </c>
      <c r="C55" s="255" t="s">
        <v>1375</v>
      </c>
      <c r="D55" s="40" t="s">
        <v>1250</v>
      </c>
      <c r="E55" s="40" t="s">
        <v>118</v>
      </c>
      <c r="F55" s="1"/>
      <c r="G55" s="1"/>
      <c r="H55" s="1"/>
      <c r="I55" s="267" t="s">
        <v>1376</v>
      </c>
      <c r="J55" s="5" t="s">
        <v>1377</v>
      </c>
      <c r="K55" s="1"/>
      <c r="L55" s="5" t="s">
        <v>1378</v>
      </c>
      <c r="M55" s="1"/>
      <c r="N55" s="1"/>
      <c r="O55" s="5" t="s">
        <v>1379</v>
      </c>
      <c r="P55" s="1" t="s">
        <v>1250</v>
      </c>
      <c r="Q55" s="1" t="s">
        <v>118</v>
      </c>
      <c r="R55" s="1" t="s">
        <v>118</v>
      </c>
      <c r="S55" s="1" t="s">
        <v>1374</v>
      </c>
      <c r="T55" s="1"/>
      <c r="U55" s="1"/>
      <c r="V55" s="2"/>
      <c r="W55" s="175"/>
      <c r="X55" s="2"/>
      <c r="Y55" s="2"/>
      <c r="Z55" s="2"/>
    </row>
    <row r="56" customHeight="1" ht="39.0">
      <c r="A56" s="176" t="n">
        <v>44044.0</v>
      </c>
      <c r="B56" s="1" t="s">
        <v>100</v>
      </c>
      <c r="C56" s="255" t="s">
        <v>1380</v>
      </c>
      <c r="D56" s="40" t="s">
        <v>1250</v>
      </c>
      <c r="E56" s="40" t="s">
        <v>118</v>
      </c>
      <c r="F56" s="1"/>
      <c r="G56" s="1"/>
      <c r="H56" s="1"/>
      <c r="I56" s="267" t="s">
        <v>1381</v>
      </c>
      <c r="J56" s="1" t="s">
        <v>1382</v>
      </c>
      <c r="K56" s="1"/>
      <c r="L56" s="5" t="s">
        <v>1378</v>
      </c>
      <c r="M56" s="1"/>
      <c r="N56" s="1"/>
      <c r="O56" s="5" t="s">
        <v>1383</v>
      </c>
      <c r="P56" s="1" t="s">
        <v>1384</v>
      </c>
      <c r="Q56" s="1" t="s">
        <v>118</v>
      </c>
      <c r="R56" s="1" t="s">
        <v>1385</v>
      </c>
      <c r="S56" s="1"/>
      <c r="T56" s="1"/>
      <c r="U56" s="1"/>
      <c r="V56" s="2"/>
      <c r="W56" s="175"/>
      <c r="X56" s="2"/>
      <c r="Y56" s="2"/>
      <c r="Z56" s="2"/>
    </row>
    <row r="57" customHeight="1" ht="39.0">
      <c r="A57" s="185" t="n">
        <v>44045.0</v>
      </c>
      <c r="B57" s="186" t="s">
        <v>101</v>
      </c>
      <c r="C57" s="268" t="s">
        <v>1386</v>
      </c>
      <c r="D57" s="46" t="s">
        <v>1250</v>
      </c>
      <c r="E57" s="186" t="s">
        <v>118</v>
      </c>
      <c r="F57" s="186"/>
      <c r="G57" s="186"/>
      <c r="H57" s="186"/>
      <c r="I57" s="269" t="s">
        <v>1376</v>
      </c>
      <c r="J57" s="186" t="s">
        <v>1387</v>
      </c>
      <c r="K57" s="186"/>
      <c r="L57" s="10" t="s">
        <v>1378</v>
      </c>
      <c r="M57" s="186"/>
      <c r="N57" s="186"/>
      <c r="O57" s="10" t="s">
        <v>1388</v>
      </c>
      <c r="P57" s="186"/>
      <c r="Q57" s="186"/>
      <c r="R57" s="186"/>
      <c r="S57" s="186"/>
      <c r="T57" s="186"/>
      <c r="U57" s="186"/>
      <c r="V57" s="186"/>
      <c r="W57" s="261"/>
      <c r="X57" s="2"/>
      <c r="Y57" s="2"/>
      <c r="Z57" s="2"/>
    </row>
    <row r="58">
      <c r="A58" s="2"/>
      <c r="B58" s="2"/>
      <c r="C58" s="202" t="s">
        <v>114</v>
      </c>
      <c r="D58" s="202"/>
      <c r="E58" s="202"/>
      <c r="F58" s="203" t="s">
        <v>115</v>
      </c>
      <c r="G58" s="203"/>
      <c r="H58" s="203"/>
      <c r="I58" s="202" t="s">
        <v>114</v>
      </c>
      <c r="J58" s="202"/>
      <c r="K58" s="202"/>
      <c r="L58" s="202" t="s">
        <v>114</v>
      </c>
      <c r="M58" s="202"/>
      <c r="N58" s="202"/>
      <c r="O58" s="202" t="s">
        <v>114</v>
      </c>
      <c r="P58" s="202"/>
      <c r="Q58" s="202"/>
      <c r="R58" s="202" t="s">
        <v>114</v>
      </c>
      <c r="S58" s="202"/>
      <c r="T58" s="202"/>
      <c r="U58" s="203" t="s">
        <v>115</v>
      </c>
      <c r="V58" s="203"/>
      <c r="W58" s="203"/>
      <c r="X58" s="2"/>
    </row>
    <row r="59">
      <c r="A59" s="2"/>
      <c r="B59" s="2"/>
      <c r="C59" s="15"/>
      <c r="D59" s="21" t="n">
        <v>2.0</v>
      </c>
      <c r="E59" s="15"/>
      <c r="F59" s="2"/>
      <c r="G59" s="22" t="n">
        <v>-0.8</v>
      </c>
      <c r="H59" s="2"/>
      <c r="I59" s="2"/>
      <c r="J59" s="22" t="n">
        <v>2.0</v>
      </c>
      <c r="K59" s="2"/>
      <c r="L59" s="2"/>
      <c r="M59" s="22" t="n">
        <v>2.0</v>
      </c>
      <c r="N59" s="2"/>
      <c r="O59" s="2"/>
      <c r="P59" s="22" t="n">
        <v>2.0</v>
      </c>
      <c r="Q59" s="2"/>
      <c r="R59" s="2"/>
      <c r="S59" s="22" t="n">
        <v>2.0</v>
      </c>
      <c r="T59" s="2"/>
      <c r="U59" s="2"/>
      <c r="V59" s="22" t="n">
        <v>-0.2</v>
      </c>
      <c r="W59" s="2"/>
      <c r="X59" s="2"/>
    </row>
    <row r="60">
      <c r="A60" s="2"/>
      <c r="B60" s="2"/>
      <c r="C60" s="15"/>
      <c r="D60" s="15"/>
      <c r="E60" s="15"/>
      <c r="F60" s="2"/>
      <c r="G60" s="2"/>
      <c r="H60" s="2"/>
      <c r="I60" s="2"/>
      <c r="J60" s="2"/>
      <c r="K60" s="2"/>
      <c r="L60" s="2"/>
      <c r="M60" s="2"/>
      <c r="N60" s="2"/>
      <c r="O60" s="2"/>
      <c r="P60" s="2"/>
      <c r="Q60" s="2"/>
      <c r="R60" s="2"/>
      <c r="S60" s="2"/>
      <c r="T60" s="2"/>
      <c r="U60" s="2"/>
      <c r="V60" s="2"/>
      <c r="W60" s="2"/>
      <c r="X60" s="2"/>
    </row>
    <row r="61">
      <c r="A61" s="2"/>
      <c r="B61" s="2"/>
      <c r="C61" s="15"/>
      <c r="D61" s="15"/>
      <c r="E61" s="15"/>
      <c r="F61" s="2"/>
      <c r="G61" s="2"/>
      <c r="H61" s="2"/>
      <c r="I61" s="2"/>
      <c r="J61" s="2"/>
      <c r="K61" s="2"/>
      <c r="L61" s="2"/>
      <c r="M61" s="2"/>
      <c r="N61" s="2"/>
      <c r="O61" s="2"/>
      <c r="P61" s="2"/>
      <c r="Q61" s="2"/>
      <c r="R61" s="2"/>
      <c r="S61" s="2"/>
      <c r="T61" s="2"/>
      <c r="U61" s="2"/>
      <c r="V61" s="2"/>
      <c r="W61" s="2"/>
      <c r="X61" s="2"/>
    </row>
    <row r="62">
      <c r="A62" s="1" t="s">
        <v>102</v>
      </c>
      <c r="B62" s="1" t="s">
        <v>1</v>
      </c>
      <c r="C62" s="40" t="s">
        <v>2</v>
      </c>
      <c r="D62" s="40"/>
      <c r="E62" s="40"/>
      <c r="F62" s="40" t="s">
        <v>3</v>
      </c>
      <c r="G62" s="40"/>
      <c r="H62" s="40"/>
      <c r="I62" s="40" t="s">
        <v>4</v>
      </c>
      <c r="J62" s="40"/>
      <c r="K62" s="40"/>
      <c r="L62" s="43" t="s">
        <v>35</v>
      </c>
      <c r="M62" s="43"/>
      <c r="N62" s="43"/>
      <c r="O62" s="40" t="s">
        <v>117</v>
      </c>
      <c r="P62" s="40"/>
      <c r="Q62" s="40"/>
      <c r="R62" s="40" t="s">
        <v>103</v>
      </c>
      <c r="S62" s="40"/>
      <c r="T62" s="40"/>
      <c r="U62" s="39" t="s">
        <v>36</v>
      </c>
      <c r="V62" s="39"/>
      <c r="W62" s="39"/>
      <c r="X62" s="2"/>
      <c r="Y62" s="2"/>
      <c r="Z62" s="2"/>
    </row>
    <row r="63" customHeight="1" ht="39.0">
      <c r="A63" s="1" t="s">
        <v>406</v>
      </c>
      <c r="B63" s="1"/>
      <c r="C63" s="5" t="s">
        <v>1241</v>
      </c>
      <c r="D63" s="5" t="s">
        <v>1242</v>
      </c>
      <c r="E63" s="5" t="s">
        <v>1243</v>
      </c>
      <c r="F63" s="5" t="s">
        <v>1241</v>
      </c>
      <c r="G63" s="5" t="s">
        <v>1242</v>
      </c>
      <c r="H63" s="5" t="s">
        <v>1243</v>
      </c>
      <c r="I63" s="5" t="s">
        <v>1241</v>
      </c>
      <c r="J63" s="5" t="s">
        <v>1242</v>
      </c>
      <c r="K63" s="5" t="s">
        <v>1243</v>
      </c>
      <c r="L63" s="5" t="s">
        <v>1241</v>
      </c>
      <c r="M63" s="5" t="s">
        <v>1242</v>
      </c>
      <c r="N63" s="5" t="s">
        <v>1243</v>
      </c>
      <c r="O63" s="5" t="s">
        <v>1241</v>
      </c>
      <c r="P63" s="5" t="s">
        <v>1242</v>
      </c>
      <c r="Q63" s="5" t="s">
        <v>1243</v>
      </c>
      <c r="R63" s="5" t="s">
        <v>1241</v>
      </c>
      <c r="S63" s="5" t="s">
        <v>1242</v>
      </c>
      <c r="T63" s="5" t="s">
        <v>1243</v>
      </c>
      <c r="U63" s="1" t="s">
        <v>1241</v>
      </c>
      <c r="V63" s="1" t="s">
        <v>1242</v>
      </c>
      <c r="W63" s="5" t="s">
        <v>1243</v>
      </c>
      <c r="X63" s="2"/>
      <c r="Y63" s="2"/>
      <c r="Z63" s="2"/>
    </row>
    <row r="64" customHeight="1" ht="91.0">
      <c r="A64" s="17" t="n">
        <v>44046.0</v>
      </c>
      <c r="B64" s="1" t="s">
        <v>90</v>
      </c>
      <c r="C64" s="40" t="s">
        <v>1389</v>
      </c>
      <c r="D64" s="40" t="s">
        <v>1250</v>
      </c>
      <c r="E64" s="40" t="s">
        <v>118</v>
      </c>
      <c r="F64" s="49" t="s">
        <v>1390</v>
      </c>
      <c r="G64" s="49" t="s">
        <v>1250</v>
      </c>
      <c r="H64" s="49" t="s">
        <v>118</v>
      </c>
      <c r="I64" s="49" t="s">
        <v>1391</v>
      </c>
      <c r="J64" s="49" t="s">
        <v>1250</v>
      </c>
      <c r="K64" s="49" t="s">
        <v>118</v>
      </c>
      <c r="L64" s="25" t="s">
        <v>1392</v>
      </c>
      <c r="M64" s="50"/>
      <c r="N64" s="50"/>
      <c r="O64" s="40" t="s">
        <v>1393</v>
      </c>
      <c r="P64" s="50"/>
      <c r="Q64" s="50"/>
      <c r="R64" s="270" t="s">
        <v>1394</v>
      </c>
      <c r="S64" s="49" t="s">
        <v>1395</v>
      </c>
      <c r="T64" s="49"/>
      <c r="U64" s="255"/>
      <c r="V64" s="1"/>
      <c r="W64" s="1"/>
      <c r="X64" s="2"/>
      <c r="Y64" s="2"/>
      <c r="Z64" s="2"/>
    </row>
    <row r="65" customHeight="1" ht="91.0">
      <c r="A65" s="17" t="n">
        <v>44047.0</v>
      </c>
      <c r="B65" s="1" t="s">
        <v>92</v>
      </c>
      <c r="C65" s="49" t="s">
        <v>1396</v>
      </c>
      <c r="D65" s="49" t="s">
        <v>1250</v>
      </c>
      <c r="E65" s="49" t="s">
        <v>118</v>
      </c>
      <c r="F65" s="49" t="s">
        <v>1397</v>
      </c>
      <c r="G65" s="49" t="s">
        <v>1250</v>
      </c>
      <c r="H65" s="49" t="s">
        <v>118</v>
      </c>
      <c r="I65" s="49" t="s">
        <v>1391</v>
      </c>
      <c r="J65" s="49" t="s">
        <v>1250</v>
      </c>
      <c r="K65" s="49" t="s">
        <v>118</v>
      </c>
      <c r="L65" s="50" t="s">
        <v>118</v>
      </c>
      <c r="M65" s="50"/>
      <c r="N65" s="50"/>
      <c r="O65" s="50"/>
      <c r="P65" s="50"/>
      <c r="Q65" s="50"/>
      <c r="R65" s="40" t="s">
        <v>1398</v>
      </c>
      <c r="S65" s="40"/>
      <c r="T65" s="40"/>
      <c r="U65" s="271" t="s">
        <v>1399</v>
      </c>
      <c r="V65" s="25" t="s">
        <v>1400</v>
      </c>
      <c r="W65" s="25"/>
      <c r="X65" s="2"/>
      <c r="Y65" s="2"/>
      <c r="Z65" s="2"/>
    </row>
    <row r="66" customHeight="1" ht="104.0">
      <c r="A66" s="17" t="n">
        <v>44048.0</v>
      </c>
      <c r="B66" s="1" t="s">
        <v>94</v>
      </c>
      <c r="C66" s="49" t="s">
        <v>1401</v>
      </c>
      <c r="D66" s="49" t="s">
        <v>1250</v>
      </c>
      <c r="E66" s="49" t="s">
        <v>118</v>
      </c>
      <c r="F66" s="49" t="s">
        <v>1402</v>
      </c>
      <c r="G66" s="49" t="s">
        <v>1250</v>
      </c>
      <c r="H66" s="49" t="s">
        <v>118</v>
      </c>
      <c r="I66" s="49" t="s">
        <v>1391</v>
      </c>
      <c r="J66" s="49" t="s">
        <v>1250</v>
      </c>
      <c r="K66" s="49" t="s">
        <v>118</v>
      </c>
      <c r="L66" s="50" t="s">
        <v>118</v>
      </c>
      <c r="M66" s="50"/>
      <c r="N66" s="50"/>
      <c r="O66" s="50"/>
      <c r="P66" s="50"/>
      <c r="Q66" s="50"/>
      <c r="R66" s="49" t="s">
        <v>1403</v>
      </c>
      <c r="S66" s="49" t="s">
        <v>1404</v>
      </c>
      <c r="T66" s="49"/>
      <c r="U66" s="26" t="s">
        <v>1405</v>
      </c>
      <c r="V66" s="26"/>
      <c r="W66" s="26"/>
      <c r="X66" s="2"/>
      <c r="Y66" s="2"/>
      <c r="Z66" s="2"/>
    </row>
    <row r="67" customHeight="1" ht="117.0">
      <c r="A67" s="17" t="n">
        <v>44049.0</v>
      </c>
      <c r="B67" s="1" t="s">
        <v>96</v>
      </c>
      <c r="C67" s="50" t="s">
        <v>1406</v>
      </c>
      <c r="D67" s="50"/>
      <c r="E67" s="50"/>
      <c r="F67" s="49" t="s">
        <v>1407</v>
      </c>
      <c r="G67" s="49" t="s">
        <v>1250</v>
      </c>
      <c r="H67" s="49" t="s">
        <v>118</v>
      </c>
      <c r="I67" s="49" t="s">
        <v>1391</v>
      </c>
      <c r="J67" s="49" t="s">
        <v>1250</v>
      </c>
      <c r="K67" s="49" t="s">
        <v>1408</v>
      </c>
      <c r="L67" s="50" t="s">
        <v>118</v>
      </c>
      <c r="M67" s="50"/>
      <c r="N67" s="50"/>
      <c r="O67" s="50"/>
      <c r="P67" s="50"/>
      <c r="Q67" s="50"/>
      <c r="R67" s="40" t="s">
        <v>1409</v>
      </c>
      <c r="S67" s="40"/>
      <c r="T67" s="40"/>
      <c r="U67" s="26" t="s">
        <v>1405</v>
      </c>
      <c r="V67" s="26"/>
      <c r="W67" s="26"/>
      <c r="X67" s="2"/>
      <c r="Y67" s="2"/>
      <c r="Z67" s="2"/>
    </row>
    <row r="68" customHeight="1" ht="91.0">
      <c r="A68" s="17" t="n">
        <v>44050.0</v>
      </c>
      <c r="B68" s="1" t="s">
        <v>98</v>
      </c>
      <c r="C68" s="13" t="s">
        <v>1406</v>
      </c>
      <c r="D68" s="50"/>
      <c r="E68" s="50"/>
      <c r="F68" s="12" t="s">
        <v>1410</v>
      </c>
      <c r="G68" s="25"/>
      <c r="H68" s="12" t="s">
        <v>1411</v>
      </c>
      <c r="I68" s="272" t="s">
        <v>1391</v>
      </c>
      <c r="J68" s="12" t="s">
        <v>1412</v>
      </c>
      <c r="K68" s="12" t="s">
        <v>1413</v>
      </c>
      <c r="L68" s="25" t="s">
        <v>1392</v>
      </c>
      <c r="M68" s="26"/>
      <c r="N68" s="26"/>
      <c r="O68" s="13"/>
      <c r="P68" s="26"/>
      <c r="Q68" s="26"/>
      <c r="R68" s="49" t="s">
        <v>1414</v>
      </c>
      <c r="S68" s="25" t="s">
        <v>1415</v>
      </c>
      <c r="T68" s="25"/>
      <c r="U68" s="26"/>
      <c r="V68" s="26"/>
      <c r="W68" s="26"/>
      <c r="X68" s="2"/>
      <c r="Y68" s="2"/>
      <c r="Z68" s="2"/>
    </row>
    <row r="69" customHeight="1" ht="39.0">
      <c r="A69" s="17" t="n">
        <v>44051.0</v>
      </c>
      <c r="B69" s="1" t="s">
        <v>100</v>
      </c>
      <c r="C69" s="271" t="s">
        <v>1416</v>
      </c>
      <c r="D69" s="49" t="s">
        <v>1250</v>
      </c>
      <c r="E69" s="49" t="s">
        <v>118</v>
      </c>
      <c r="F69" s="12" t="s">
        <v>1417</v>
      </c>
      <c r="G69" s="25" t="s">
        <v>1250</v>
      </c>
      <c r="H69" s="25" t="s">
        <v>118</v>
      </c>
      <c r="I69" s="272" t="s">
        <v>1418</v>
      </c>
      <c r="J69" s="25" t="s">
        <v>1250</v>
      </c>
      <c r="K69" s="25"/>
      <c r="L69" s="25" t="s">
        <v>1392</v>
      </c>
      <c r="M69" s="26"/>
      <c r="N69" s="26"/>
      <c r="O69" s="13"/>
      <c r="P69" s="26"/>
      <c r="Q69" s="26"/>
      <c r="R69" s="40" t="s">
        <v>1419</v>
      </c>
      <c r="S69" s="1"/>
      <c r="T69" s="1"/>
      <c r="U69" s="26"/>
      <c r="V69" s="26"/>
      <c r="W69" s="26"/>
      <c r="X69" s="2"/>
      <c r="Y69" s="2"/>
      <c r="Z69" s="2"/>
    </row>
    <row r="70" customHeight="1" ht="39.0">
      <c r="A70" s="17" t="n">
        <v>44052.0</v>
      </c>
      <c r="B70" s="1" t="s">
        <v>101</v>
      </c>
      <c r="C70" s="255"/>
      <c r="D70" s="40"/>
      <c r="E70" s="1"/>
      <c r="F70" s="12" t="s">
        <v>1420</v>
      </c>
      <c r="G70" s="25"/>
      <c r="H70" s="25" t="s">
        <v>1421</v>
      </c>
      <c r="I70" s="272" t="s">
        <v>1418</v>
      </c>
      <c r="J70" s="25" t="s">
        <v>1250</v>
      </c>
      <c r="K70" s="25"/>
      <c r="L70" s="25" t="s">
        <v>1392</v>
      </c>
      <c r="M70" s="26"/>
      <c r="N70" s="26"/>
      <c r="O70" s="13"/>
      <c r="P70" s="26"/>
      <c r="Q70" s="26"/>
      <c r="R70" s="40" t="s">
        <v>1422</v>
      </c>
      <c r="S70" s="1"/>
      <c r="T70" s="1"/>
      <c r="U70" s="1"/>
      <c r="V70" s="1"/>
      <c r="W70" s="1"/>
      <c r="X70" s="2"/>
      <c r="Y70" s="2"/>
      <c r="Z70" s="2"/>
    </row>
    <row r="71">
      <c r="A71" s="2"/>
      <c r="B71" s="2"/>
      <c r="C71" s="202" t="s">
        <v>114</v>
      </c>
      <c r="D71" s="202"/>
      <c r="E71" s="202"/>
      <c r="F71" s="202" t="s">
        <v>114</v>
      </c>
      <c r="G71" s="202"/>
      <c r="H71" s="202"/>
      <c r="I71" s="202" t="s">
        <v>114</v>
      </c>
      <c r="J71" s="202"/>
      <c r="K71" s="202"/>
      <c r="L71" s="203" t="s">
        <v>115</v>
      </c>
      <c r="M71" s="203"/>
      <c r="N71" s="203"/>
      <c r="O71" s="203" t="s">
        <v>115</v>
      </c>
      <c r="P71" s="203"/>
      <c r="Q71" s="203"/>
      <c r="R71" s="202" t="s">
        <v>114</v>
      </c>
      <c r="S71" s="202"/>
      <c r="T71" s="202"/>
      <c r="U71" s="203" t="s">
        <v>115</v>
      </c>
      <c r="V71" s="203"/>
      <c r="W71" s="203"/>
      <c r="X71" s="2"/>
    </row>
    <row r="72">
      <c r="A72" s="2"/>
      <c r="B72" s="2"/>
      <c r="C72" s="15"/>
      <c r="D72" s="21" t="n">
        <v>2.0</v>
      </c>
      <c r="E72" s="15"/>
      <c r="F72" s="2"/>
      <c r="G72" s="22" t="n">
        <v>2.0</v>
      </c>
      <c r="H72" s="2"/>
      <c r="I72" s="2"/>
      <c r="J72" s="22" t="n">
        <v>2.0</v>
      </c>
      <c r="K72" s="2"/>
      <c r="L72" s="2"/>
      <c r="M72" s="22" t="n">
        <v>-1.0</v>
      </c>
      <c r="N72" s="2"/>
      <c r="O72" s="2"/>
      <c r="P72" s="22" t="n">
        <v>-1.0</v>
      </c>
      <c r="Q72" s="2"/>
      <c r="R72" s="2"/>
      <c r="S72" s="22" t="n">
        <v>2.0</v>
      </c>
      <c r="T72" s="2"/>
      <c r="U72" s="2"/>
      <c r="V72" s="22" t="n">
        <v>-0.6</v>
      </c>
      <c r="W72" s="2"/>
      <c r="X72" s="2"/>
    </row>
    <row r="73">
      <c r="A73" s="2"/>
      <c r="B73" s="2"/>
      <c r="C73" s="15"/>
      <c r="D73" s="15"/>
      <c r="E73" s="15"/>
      <c r="F73" s="2"/>
      <c r="G73" s="2"/>
      <c r="H73" s="2"/>
      <c r="I73" s="2"/>
      <c r="J73" s="2"/>
      <c r="K73" s="2"/>
      <c r="L73" s="2"/>
      <c r="M73" s="2"/>
      <c r="N73" s="2"/>
      <c r="O73" s="2"/>
      <c r="P73" s="2"/>
      <c r="Q73" s="2"/>
      <c r="R73" s="2"/>
      <c r="S73" s="2"/>
      <c r="T73" s="2"/>
      <c r="U73" s="2"/>
      <c r="V73" s="2"/>
      <c r="W73" s="2"/>
      <c r="X73" s="2"/>
    </row>
    <row r="74">
      <c r="A74" s="2"/>
      <c r="B74" s="2"/>
      <c r="C74" s="15"/>
      <c r="D74" s="15"/>
      <c r="E74" s="15"/>
      <c r="F74" s="2"/>
      <c r="G74" s="2"/>
      <c r="H74" s="2"/>
      <c r="I74" s="2"/>
      <c r="J74" s="2"/>
      <c r="K74" s="2"/>
      <c r="L74" s="2"/>
      <c r="M74" s="2"/>
      <c r="N74" s="2"/>
      <c r="O74" s="2"/>
      <c r="P74" s="2"/>
      <c r="Q74" s="2"/>
      <c r="R74" s="2"/>
      <c r="S74" s="2"/>
      <c r="T74" s="2"/>
      <c r="U74" s="2"/>
      <c r="V74" s="2"/>
      <c r="W74" s="2"/>
      <c r="X74" s="2"/>
    </row>
    <row r="75">
      <c r="A75" s="1" t="s">
        <v>102</v>
      </c>
      <c r="B75" s="1" t="s">
        <v>1</v>
      </c>
      <c r="C75" s="40" t="s">
        <v>2</v>
      </c>
      <c r="D75" s="40"/>
      <c r="E75" s="40"/>
      <c r="F75" s="40" t="s">
        <v>4</v>
      </c>
      <c r="G75" s="40"/>
      <c r="H75" s="40"/>
      <c r="I75" s="40" t="s">
        <v>103</v>
      </c>
      <c r="J75" s="40"/>
      <c r="K75" s="40"/>
      <c r="L75" s="43" t="s">
        <v>3</v>
      </c>
      <c r="M75" s="43"/>
      <c r="N75" s="43"/>
      <c r="O75" s="40" t="s">
        <v>35</v>
      </c>
      <c r="P75" s="40"/>
      <c r="Q75" s="40"/>
      <c r="R75" s="40"/>
      <c r="S75" s="40"/>
      <c r="T75" s="40"/>
      <c r="U75" s="40"/>
      <c r="V75" s="40"/>
      <c r="W75" s="40"/>
      <c r="X75" s="39"/>
      <c r="Y75" s="39"/>
      <c r="Z75" s="39"/>
    </row>
    <row r="76" customHeight="1" ht="39.0">
      <c r="A76" s="1" t="s">
        <v>406</v>
      </c>
      <c r="B76" s="1"/>
      <c r="C76" s="5" t="s">
        <v>1241</v>
      </c>
      <c r="D76" s="5" t="s">
        <v>1242</v>
      </c>
      <c r="E76" s="5" t="s">
        <v>1243</v>
      </c>
      <c r="F76" s="5" t="s">
        <v>1241</v>
      </c>
      <c r="G76" s="5" t="s">
        <v>1242</v>
      </c>
      <c r="H76" s="5" t="s">
        <v>1243</v>
      </c>
      <c r="I76" s="5" t="s">
        <v>1241</v>
      </c>
      <c r="J76" s="5" t="s">
        <v>1242</v>
      </c>
      <c r="K76" s="5" t="s">
        <v>1243</v>
      </c>
      <c r="L76" s="5" t="s">
        <v>1241</v>
      </c>
      <c r="M76" s="5" t="s">
        <v>1242</v>
      </c>
      <c r="N76" s="5" t="s">
        <v>1243</v>
      </c>
      <c r="O76" s="5" t="s">
        <v>1241</v>
      </c>
      <c r="P76" s="5" t="s">
        <v>1242</v>
      </c>
      <c r="Q76" s="5" t="s">
        <v>1243</v>
      </c>
      <c r="R76" s="5" t="s">
        <v>1241</v>
      </c>
      <c r="S76" s="5" t="s">
        <v>1242</v>
      </c>
      <c r="T76" s="5" t="s">
        <v>1243</v>
      </c>
      <c r="U76" s="5" t="s">
        <v>1241</v>
      </c>
      <c r="V76" s="5" t="s">
        <v>1242</v>
      </c>
      <c r="W76" s="5" t="s">
        <v>1243</v>
      </c>
      <c r="X76" s="1" t="s">
        <v>1241</v>
      </c>
      <c r="Y76" s="1" t="s">
        <v>1242</v>
      </c>
      <c r="Z76" s="5" t="s">
        <v>1243</v>
      </c>
    </row>
    <row r="77" customHeight="1" ht="91.0">
      <c r="A77" s="3" t="n">
        <v>44053.0</v>
      </c>
      <c r="B77" s="1" t="s">
        <v>90</v>
      </c>
      <c r="C77" s="40" t="s">
        <v>1423</v>
      </c>
      <c r="D77" s="40" t="s">
        <v>1250</v>
      </c>
      <c r="E77" s="40" t="s">
        <v>118</v>
      </c>
      <c r="F77" s="40" t="s">
        <v>1424</v>
      </c>
      <c r="G77" s="40" t="s">
        <v>1425</v>
      </c>
      <c r="H77" s="40" t="s">
        <v>1426</v>
      </c>
      <c r="I77" s="40" t="s">
        <v>1427</v>
      </c>
      <c r="J77" s="40" t="s">
        <v>1428</v>
      </c>
      <c r="K77" s="40" t="s">
        <v>1429</v>
      </c>
      <c r="L77" s="5" t="s">
        <v>1430</v>
      </c>
      <c r="M77" s="40" t="s">
        <v>1250</v>
      </c>
      <c r="N77" s="40" t="s">
        <v>118</v>
      </c>
      <c r="O77" s="5" t="s">
        <v>1392</v>
      </c>
      <c r="P77" s="5"/>
      <c r="Q77" s="5"/>
      <c r="R77" s="40"/>
      <c r="S77" s="40"/>
      <c r="T77" s="40"/>
      <c r="U77" s="254"/>
      <c r="V77" s="40"/>
      <c r="W77" s="40"/>
      <c r="X77" s="255"/>
      <c r="Y77" s="1"/>
      <c r="Z77" s="2"/>
    </row>
    <row r="78" customHeight="1" ht="52.0">
      <c r="A78" s="3" t="n">
        <v>44054.0</v>
      </c>
      <c r="B78" s="1" t="s">
        <v>92</v>
      </c>
      <c r="C78" s="40" t="s">
        <v>1431</v>
      </c>
      <c r="D78" s="40" t="s">
        <v>1250</v>
      </c>
      <c r="E78" s="40" t="s">
        <v>118</v>
      </c>
      <c r="F78" s="40" t="s">
        <v>1424</v>
      </c>
      <c r="G78" s="40" t="s">
        <v>1250</v>
      </c>
      <c r="H78" s="40" t="s">
        <v>118</v>
      </c>
      <c r="I78" s="40" t="s">
        <v>1432</v>
      </c>
      <c r="J78" s="40" t="s">
        <v>1433</v>
      </c>
      <c r="K78" s="40" t="s">
        <v>118</v>
      </c>
      <c r="L78" s="40" t="s">
        <v>1434</v>
      </c>
      <c r="M78" s="40" t="s">
        <v>1250</v>
      </c>
      <c r="N78" s="40" t="s">
        <v>118</v>
      </c>
      <c r="O78" s="5" t="s">
        <v>1435</v>
      </c>
      <c r="P78" s="40"/>
      <c r="Q78" s="40"/>
      <c r="R78" s="40"/>
      <c r="S78" s="40"/>
      <c r="T78" s="1"/>
      <c r="U78" s="40"/>
      <c r="V78" s="40"/>
      <c r="W78" s="40"/>
      <c r="X78" s="255"/>
      <c r="Y78" s="1"/>
      <c r="Z78" s="2"/>
    </row>
    <row r="79" customHeight="1" ht="52.0">
      <c r="A79" s="3" t="n">
        <v>44055.0</v>
      </c>
      <c r="B79" s="1" t="s">
        <v>94</v>
      </c>
      <c r="C79" s="254" t="s">
        <v>1436</v>
      </c>
      <c r="D79" s="40" t="s">
        <v>1250</v>
      </c>
      <c r="E79" s="40" t="s">
        <v>118</v>
      </c>
      <c r="F79" s="40" t="s">
        <v>1437</v>
      </c>
      <c r="G79" s="40" t="s">
        <v>1250</v>
      </c>
      <c r="H79" s="40" t="s">
        <v>118</v>
      </c>
      <c r="I79" s="40" t="s">
        <v>1438</v>
      </c>
      <c r="J79" s="40" t="s">
        <v>1250</v>
      </c>
      <c r="K79" s="40" t="s">
        <v>118</v>
      </c>
      <c r="L79" s="40" t="s">
        <v>1439</v>
      </c>
      <c r="M79" s="40" t="s">
        <v>1250</v>
      </c>
      <c r="N79" s="40" t="s">
        <v>118</v>
      </c>
      <c r="O79" s="5" t="s">
        <v>1440</v>
      </c>
      <c r="P79" s="40"/>
      <c r="Q79" s="40"/>
      <c r="R79" s="40"/>
      <c r="S79" s="40"/>
      <c r="T79" s="40"/>
      <c r="U79" s="40"/>
      <c r="V79" s="40"/>
      <c r="W79" s="40"/>
      <c r="X79" s="1"/>
      <c r="Y79" s="2"/>
      <c r="Z79" s="2"/>
    </row>
    <row r="80" customHeight="1" ht="78.0">
      <c r="A80" s="3" t="n">
        <v>44056.0</v>
      </c>
      <c r="B80" s="1" t="s">
        <v>96</v>
      </c>
      <c r="C80" s="40" t="s">
        <v>1441</v>
      </c>
      <c r="D80" s="40" t="s">
        <v>1250</v>
      </c>
      <c r="E80" s="40" t="s">
        <v>118</v>
      </c>
      <c r="F80" s="40" t="s">
        <v>1442</v>
      </c>
      <c r="G80" s="40" t="s">
        <v>1442</v>
      </c>
      <c r="H80" s="40" t="s">
        <v>1442</v>
      </c>
      <c r="I80" s="40" t="s">
        <v>1443</v>
      </c>
      <c r="J80" s="40" t="s">
        <v>1250</v>
      </c>
      <c r="K80" s="40" t="s">
        <v>1444</v>
      </c>
      <c r="L80" s="40" t="s">
        <v>1445</v>
      </c>
      <c r="M80" s="40" t="s">
        <v>1433</v>
      </c>
      <c r="N80" s="40" t="s">
        <v>118</v>
      </c>
      <c r="O80" s="5" t="s">
        <v>1440</v>
      </c>
      <c r="P80" s="40"/>
      <c r="Q80" s="40"/>
      <c r="R80" s="40"/>
      <c r="S80" s="40"/>
      <c r="T80" s="40"/>
      <c r="U80" s="40"/>
      <c r="V80" s="40"/>
      <c r="W80" s="40"/>
      <c r="X80" s="1"/>
      <c r="Y80" s="2"/>
      <c r="Z80" s="2"/>
    </row>
    <row r="81" customHeight="1" ht="39.0">
      <c r="A81" s="3" t="n">
        <v>44057.0</v>
      </c>
      <c r="B81" s="1" t="s">
        <v>98</v>
      </c>
      <c r="C81" s="5" t="s">
        <v>1446</v>
      </c>
      <c r="D81" s="40" t="s">
        <v>1250</v>
      </c>
      <c r="E81" s="40" t="s">
        <v>118</v>
      </c>
      <c r="F81" s="40" t="s">
        <v>1442</v>
      </c>
      <c r="G81" s="40" t="s">
        <v>1442</v>
      </c>
      <c r="H81" s="40" t="s">
        <v>1442</v>
      </c>
      <c r="I81" s="267" t="s">
        <v>118</v>
      </c>
      <c r="J81" s="273" t="s">
        <v>1433</v>
      </c>
      <c r="K81" s="273" t="s">
        <v>118</v>
      </c>
      <c r="L81" s="5" t="s">
        <v>1447</v>
      </c>
      <c r="M81" s="1" t="s">
        <v>1448</v>
      </c>
      <c r="N81" s="1"/>
      <c r="O81" s="5" t="s">
        <v>1440</v>
      </c>
      <c r="P81" s="1"/>
      <c r="Q81" s="1"/>
      <c r="R81" s="1"/>
      <c r="S81" s="1"/>
      <c r="T81" s="1"/>
      <c r="U81" s="40"/>
      <c r="V81" s="1"/>
      <c r="W81" s="1"/>
      <c r="X81" s="1"/>
      <c r="Y81" s="2"/>
      <c r="Z81" s="2"/>
    </row>
    <row r="82" customHeight="1" ht="65.0">
      <c r="A82" s="3" t="n">
        <v>44058.0</v>
      </c>
      <c r="B82" s="1" t="s">
        <v>100</v>
      </c>
      <c r="C82" s="255" t="s">
        <v>1449</v>
      </c>
      <c r="D82" s="40" t="s">
        <v>1250</v>
      </c>
      <c r="E82" s="40" t="s">
        <v>118</v>
      </c>
      <c r="F82" s="5" t="s">
        <v>1450</v>
      </c>
      <c r="G82" s="1" t="s">
        <v>1250</v>
      </c>
      <c r="H82" s="5" t="s">
        <v>1451</v>
      </c>
      <c r="I82" s="267" t="s">
        <v>118</v>
      </c>
      <c r="J82" s="1" t="s">
        <v>1250</v>
      </c>
      <c r="K82" s="1" t="s">
        <v>118</v>
      </c>
      <c r="L82" s="255" t="s">
        <v>1452</v>
      </c>
      <c r="M82" s="1" t="s">
        <v>1250</v>
      </c>
      <c r="N82" s="1" t="s">
        <v>118</v>
      </c>
      <c r="O82" s="5" t="s">
        <v>1440</v>
      </c>
      <c r="P82" s="1"/>
      <c r="Q82" s="1"/>
      <c r="R82" s="1"/>
      <c r="S82" s="1"/>
      <c r="T82" s="1"/>
      <c r="U82" s="40"/>
      <c r="V82" s="1"/>
      <c r="W82" s="1"/>
      <c r="X82" s="1"/>
      <c r="Y82" s="2"/>
      <c r="Z82" s="2"/>
    </row>
    <row r="83" customHeight="1" ht="78.0">
      <c r="A83" s="3" t="n">
        <v>44059.0</v>
      </c>
      <c r="B83" s="1" t="s">
        <v>101</v>
      </c>
      <c r="C83" s="255"/>
      <c r="D83" s="40"/>
      <c r="E83" s="1"/>
      <c r="F83" s="5" t="s">
        <v>1453</v>
      </c>
      <c r="G83" s="1" t="s">
        <v>1250</v>
      </c>
      <c r="H83" s="5" t="s">
        <v>1454</v>
      </c>
      <c r="I83" s="267" t="s">
        <v>118</v>
      </c>
      <c r="J83" s="1" t="s">
        <v>1250</v>
      </c>
      <c r="K83" s="1" t="s">
        <v>118</v>
      </c>
      <c r="L83" s="5" t="s">
        <v>1455</v>
      </c>
      <c r="M83" s="1" t="s">
        <v>1250</v>
      </c>
      <c r="N83" s="1" t="s">
        <v>118</v>
      </c>
      <c r="O83" s="5" t="s">
        <v>1440</v>
      </c>
      <c r="P83" s="1"/>
      <c r="Q83" s="1"/>
      <c r="R83" s="1"/>
      <c r="S83" s="1"/>
      <c r="T83" s="1"/>
      <c r="U83" s="40"/>
      <c r="V83" s="1"/>
      <c r="W83" s="1"/>
      <c r="X83" s="1"/>
      <c r="Y83" s="2"/>
      <c r="Z83" s="2"/>
    </row>
    <row r="84">
      <c r="A84" s="2"/>
      <c r="B84" s="2"/>
      <c r="C84" s="15"/>
      <c r="D84" s="15"/>
      <c r="E84" s="15"/>
      <c r="F84" s="2"/>
      <c r="G84" s="2"/>
      <c r="H84" s="2"/>
      <c r="I84" s="2"/>
      <c r="J84" s="2"/>
      <c r="K84" s="2"/>
      <c r="L84" s="2"/>
      <c r="M84" s="2"/>
      <c r="N84" s="2"/>
      <c r="O84" s="2"/>
      <c r="P84" s="2"/>
      <c r="Q84" s="2"/>
      <c r="R84" s="2"/>
      <c r="S84" s="2"/>
      <c r="T84" s="2"/>
      <c r="U84" s="2"/>
      <c r="V84" s="2"/>
      <c r="W84" s="2"/>
      <c r="X84" s="2"/>
    </row>
    <row r="85">
      <c r="A85" s="2"/>
      <c r="B85" s="2"/>
      <c r="C85" s="15"/>
      <c r="D85" s="15"/>
      <c r="E85" s="15"/>
      <c r="F85" s="2"/>
      <c r="G85" s="2"/>
      <c r="H85" s="2"/>
      <c r="I85" s="2"/>
      <c r="J85" s="2"/>
      <c r="K85" s="2"/>
      <c r="L85" s="2"/>
      <c r="M85" s="2"/>
      <c r="N85" s="2"/>
      <c r="O85" s="2"/>
      <c r="P85" s="2"/>
      <c r="Q85" s="2"/>
      <c r="R85" s="2"/>
      <c r="S85" s="2"/>
      <c r="T85" s="2"/>
      <c r="U85" s="2"/>
      <c r="V85" s="2"/>
      <c r="W85" s="2"/>
      <c r="X85" s="2"/>
    </row>
    <row r="86">
      <c r="A86" s="1" t="s">
        <v>102</v>
      </c>
      <c r="B86" s="1" t="s">
        <v>1</v>
      </c>
      <c r="C86" s="40" t="s">
        <v>2</v>
      </c>
      <c r="D86" s="40"/>
      <c r="E86" s="40"/>
      <c r="F86" s="40" t="s">
        <v>4</v>
      </c>
      <c r="G86" s="40"/>
      <c r="H86" s="40"/>
      <c r="I86" s="40" t="s">
        <v>35</v>
      </c>
      <c r="J86" s="40"/>
      <c r="K86" s="40"/>
      <c r="L86" s="43" t="s">
        <v>3</v>
      </c>
      <c r="M86" s="43"/>
      <c r="N86" s="43"/>
      <c r="O86" s="40" t="s">
        <v>103</v>
      </c>
      <c r="P86" s="40"/>
      <c r="Q86" s="40"/>
      <c r="R86" s="2"/>
      <c r="S86" s="2"/>
      <c r="T86" s="2"/>
      <c r="U86" s="2"/>
      <c r="V86" s="2"/>
      <c r="W86" s="2"/>
      <c r="X86" s="2"/>
    </row>
    <row r="87" customHeight="1" ht="39.0">
      <c r="A87" s="1" t="s">
        <v>406</v>
      </c>
      <c r="B87" s="1"/>
      <c r="C87" s="5" t="s">
        <v>1241</v>
      </c>
      <c r="D87" s="5" t="s">
        <v>1242</v>
      </c>
      <c r="E87" s="5" t="s">
        <v>1243</v>
      </c>
      <c r="F87" s="5" t="s">
        <v>1241</v>
      </c>
      <c r="G87" s="5" t="s">
        <v>1242</v>
      </c>
      <c r="H87" s="5" t="s">
        <v>1243</v>
      </c>
      <c r="I87" s="5" t="s">
        <v>1241</v>
      </c>
      <c r="J87" s="5" t="s">
        <v>1242</v>
      </c>
      <c r="K87" s="5" t="s">
        <v>1243</v>
      </c>
      <c r="L87" s="5" t="s">
        <v>1241</v>
      </c>
      <c r="M87" s="5" t="s">
        <v>1242</v>
      </c>
      <c r="N87" s="5" t="s">
        <v>1243</v>
      </c>
      <c r="O87" s="5" t="s">
        <v>1241</v>
      </c>
      <c r="P87" s="5" t="s">
        <v>1242</v>
      </c>
      <c r="Q87" s="5" t="s">
        <v>1243</v>
      </c>
      <c r="R87" s="2"/>
      <c r="S87" s="2"/>
      <c r="T87" s="2"/>
      <c r="U87" s="2"/>
      <c r="V87" s="2"/>
      <c r="W87" s="2"/>
      <c r="X87" s="2"/>
    </row>
    <row r="88" customHeight="1" ht="78.0">
      <c r="A88" s="3" t="n">
        <v>44060.0</v>
      </c>
      <c r="B88" s="5" t="s">
        <v>90</v>
      </c>
      <c r="C88" s="40" t="s">
        <v>1249</v>
      </c>
      <c r="D88" s="40" t="s">
        <v>1250</v>
      </c>
      <c r="E88" s="40" t="s">
        <v>118</v>
      </c>
      <c r="F88" s="5" t="s">
        <v>1456</v>
      </c>
      <c r="G88" s="40" t="s">
        <v>1250</v>
      </c>
      <c r="H88" s="40" t="s">
        <v>118</v>
      </c>
      <c r="I88" s="5" t="s">
        <v>118</v>
      </c>
      <c r="J88" s="5" t="s">
        <v>1457</v>
      </c>
      <c r="K88" s="5"/>
      <c r="L88" s="5" t="s">
        <v>1458</v>
      </c>
      <c r="M88" s="40" t="s">
        <v>1250</v>
      </c>
      <c r="N88" s="40" t="s">
        <v>118</v>
      </c>
      <c r="O88" s="5" t="s">
        <v>118</v>
      </c>
      <c r="P88" s="5" t="s">
        <v>1250</v>
      </c>
      <c r="Q88" s="5" t="s">
        <v>118</v>
      </c>
      <c r="R88" s="2"/>
      <c r="S88" s="2"/>
      <c r="T88" s="2"/>
      <c r="U88" s="2"/>
      <c r="V88" s="2"/>
      <c r="W88" s="2"/>
      <c r="X88" s="2"/>
    </row>
    <row r="89" customHeight="1" ht="78.0">
      <c r="A89" s="3" t="n">
        <v>44061.0</v>
      </c>
      <c r="B89" s="5" t="s">
        <v>92</v>
      </c>
      <c r="C89" s="40" t="s">
        <v>1459</v>
      </c>
      <c r="D89" s="40" t="s">
        <v>1250</v>
      </c>
      <c r="E89" s="40" t="s">
        <v>118</v>
      </c>
      <c r="F89" s="5" t="s">
        <v>1456</v>
      </c>
      <c r="G89" s="40" t="s">
        <v>1250</v>
      </c>
      <c r="H89" s="40" t="s">
        <v>118</v>
      </c>
      <c r="I89" s="5" t="s">
        <v>118</v>
      </c>
      <c r="J89" s="5" t="s">
        <v>1457</v>
      </c>
      <c r="K89" s="40"/>
      <c r="L89" s="40" t="s">
        <v>1460</v>
      </c>
      <c r="M89" s="40" t="s">
        <v>1250</v>
      </c>
      <c r="N89" s="40" t="s">
        <v>118</v>
      </c>
      <c r="O89" s="5" t="s">
        <v>1461</v>
      </c>
      <c r="P89" s="40" t="s">
        <v>1250</v>
      </c>
      <c r="Q89" s="40" t="s">
        <v>118</v>
      </c>
      <c r="R89" s="2"/>
      <c r="S89" s="2"/>
      <c r="T89" s="2"/>
      <c r="U89" s="2"/>
      <c r="V89" s="2"/>
      <c r="W89" s="2"/>
      <c r="X89" s="2"/>
    </row>
    <row r="90" customHeight="1" ht="65.0">
      <c r="A90" s="3" t="n">
        <v>44062.0</v>
      </c>
      <c r="B90" s="5" t="s">
        <v>94</v>
      </c>
      <c r="C90" s="254" t="s">
        <v>1269</v>
      </c>
      <c r="D90" s="40" t="s">
        <v>1250</v>
      </c>
      <c r="E90" s="40" t="s">
        <v>118</v>
      </c>
      <c r="F90" s="40" t="s">
        <v>1462</v>
      </c>
      <c r="G90" s="40"/>
      <c r="H90" s="40"/>
      <c r="I90" s="5" t="s">
        <v>1246</v>
      </c>
      <c r="J90" s="40"/>
      <c r="K90" s="40"/>
      <c r="L90" s="40" t="s">
        <v>1463</v>
      </c>
      <c r="M90" s="40" t="s">
        <v>1250</v>
      </c>
      <c r="N90" s="40" t="s">
        <v>118</v>
      </c>
      <c r="O90" s="5" t="s">
        <v>1464</v>
      </c>
      <c r="P90" s="40" t="s">
        <v>1250</v>
      </c>
      <c r="Q90" s="40" t="s">
        <v>118</v>
      </c>
      <c r="R90" s="2"/>
      <c r="S90" s="2"/>
      <c r="T90" s="2"/>
      <c r="U90" s="2"/>
      <c r="V90" s="2"/>
      <c r="W90" s="2"/>
      <c r="X90" s="2"/>
    </row>
    <row r="91" customHeight="1" ht="65.0">
      <c r="A91" s="3" t="n">
        <v>44063.0</v>
      </c>
      <c r="B91" s="5" t="s">
        <v>96</v>
      </c>
      <c r="C91" s="40" t="s">
        <v>1269</v>
      </c>
      <c r="D91" s="40" t="s">
        <v>1250</v>
      </c>
      <c r="E91" s="40" t="s">
        <v>118</v>
      </c>
      <c r="F91" s="40" t="s">
        <v>1462</v>
      </c>
      <c r="G91" s="40"/>
      <c r="H91" s="40"/>
      <c r="I91" s="5" t="s">
        <v>1246</v>
      </c>
      <c r="J91" s="40"/>
      <c r="K91" s="40"/>
      <c r="L91" s="40" t="s">
        <v>1465</v>
      </c>
      <c r="M91" s="40" t="s">
        <v>1250</v>
      </c>
      <c r="N91" s="40" t="s">
        <v>118</v>
      </c>
      <c r="O91" s="5" t="s">
        <v>118</v>
      </c>
      <c r="P91" s="40" t="s">
        <v>1466</v>
      </c>
      <c r="Q91" s="40" t="s">
        <v>1467</v>
      </c>
      <c r="R91" s="2"/>
      <c r="S91" s="2"/>
      <c r="T91" s="2"/>
      <c r="U91" s="2"/>
      <c r="V91" s="2"/>
      <c r="W91" s="2"/>
      <c r="X91" s="2"/>
    </row>
    <row r="92" customHeight="1" ht="39.0">
      <c r="A92" s="3" t="n">
        <v>44064.0</v>
      </c>
      <c r="B92" s="5" t="s">
        <v>98</v>
      </c>
      <c r="C92" s="5" t="s">
        <v>1269</v>
      </c>
      <c r="D92" s="40" t="s">
        <v>1250</v>
      </c>
      <c r="E92" s="40" t="s">
        <v>118</v>
      </c>
      <c r="F92" s="40" t="s">
        <v>1468</v>
      </c>
      <c r="G92" s="40"/>
      <c r="H92" s="40"/>
      <c r="I92" s="5" t="s">
        <v>1246</v>
      </c>
      <c r="J92" s="273" t="s">
        <v>1469</v>
      </c>
      <c r="K92" s="273"/>
      <c r="L92" s="5" t="s">
        <v>1470</v>
      </c>
      <c r="M92" s="40" t="s">
        <v>1250</v>
      </c>
      <c r="N92" s="40" t="s">
        <v>118</v>
      </c>
      <c r="O92" s="5" t="s">
        <v>1471</v>
      </c>
      <c r="P92" s="1" t="s">
        <v>1250</v>
      </c>
      <c r="Q92" s="1" t="s">
        <v>118</v>
      </c>
      <c r="R92" s="2"/>
      <c r="S92" s="2"/>
      <c r="T92" s="2"/>
      <c r="U92" s="2"/>
      <c r="V92" s="2"/>
      <c r="W92" s="2"/>
      <c r="X92" s="2"/>
    </row>
    <row r="93" customHeight="1" ht="104.0">
      <c r="A93" s="3" t="n">
        <v>44065.0</v>
      </c>
      <c r="B93" s="5" t="s">
        <v>100</v>
      </c>
      <c r="C93" s="255"/>
      <c r="D93" s="40"/>
      <c r="E93" s="40"/>
      <c r="F93" s="5" t="s">
        <v>1244</v>
      </c>
      <c r="G93" s="1"/>
      <c r="H93" s="273"/>
      <c r="I93" s="5" t="s">
        <v>1472</v>
      </c>
      <c r="J93" s="1"/>
      <c r="K93" s="1"/>
      <c r="L93" s="5" t="s">
        <v>1473</v>
      </c>
      <c r="M93" s="40" t="s">
        <v>1250</v>
      </c>
      <c r="N93" s="40" t="s">
        <v>118</v>
      </c>
      <c r="O93" s="5" t="s">
        <v>1474</v>
      </c>
      <c r="P93" s="1" t="s">
        <v>1475</v>
      </c>
      <c r="Q93" s="1" t="s">
        <v>1476</v>
      </c>
      <c r="R93" s="2"/>
      <c r="S93" s="2"/>
      <c r="T93" s="2"/>
      <c r="U93" s="2"/>
      <c r="V93" s="2"/>
      <c r="W93" s="2"/>
      <c r="X93" s="2"/>
    </row>
    <row r="94" customHeight="1" ht="52.0">
      <c r="A94" s="3" t="n">
        <v>44066.0</v>
      </c>
      <c r="B94" s="5" t="s">
        <v>101</v>
      </c>
      <c r="C94" s="255"/>
      <c r="D94" s="40"/>
      <c r="E94" s="1"/>
      <c r="F94" s="5" t="s">
        <v>1244</v>
      </c>
      <c r="G94" s="1"/>
      <c r="H94" s="273"/>
      <c r="I94" s="267"/>
      <c r="J94" s="1"/>
      <c r="K94" s="1"/>
      <c r="L94" s="5" t="s">
        <v>1477</v>
      </c>
      <c r="M94" s="40" t="s">
        <v>1250</v>
      </c>
      <c r="N94" s="40" t="s">
        <v>118</v>
      </c>
      <c r="O94" s="5" t="s">
        <v>1478</v>
      </c>
      <c r="P94" s="1"/>
      <c r="Q94" s="1"/>
      <c r="R94" s="2"/>
      <c r="S94" s="2"/>
      <c r="T94" s="2"/>
      <c r="U94" s="2"/>
      <c r="V94" s="2"/>
      <c r="W94" s="2"/>
      <c r="X94" s="2"/>
    </row>
    <row r="95">
      <c r="A95" s="2"/>
      <c r="B95" s="2"/>
      <c r="C95" s="15"/>
      <c r="D95" s="15"/>
      <c r="E95" s="15"/>
      <c r="F95" s="2"/>
      <c r="G95" s="2"/>
      <c r="H95" s="2"/>
      <c r="I95" s="2"/>
      <c r="J95" s="2"/>
      <c r="K95" s="2"/>
      <c r="L95" s="2"/>
      <c r="M95" s="2"/>
      <c r="N95" s="2"/>
      <c r="O95" s="2"/>
      <c r="P95" s="2"/>
      <c r="Q95" s="2"/>
      <c r="R95" s="2"/>
      <c r="S95" s="2"/>
      <c r="T95" s="2"/>
      <c r="U95" s="2"/>
      <c r="V95" s="2"/>
      <c r="W95" s="2"/>
      <c r="X95" s="2"/>
    </row>
    <row r="96">
      <c r="A96" s="2"/>
      <c r="B96" s="2"/>
      <c r="C96" s="15"/>
      <c r="D96" s="15"/>
      <c r="E96" s="15"/>
      <c r="F96" s="2"/>
      <c r="G96" s="2"/>
      <c r="H96" s="2"/>
      <c r="I96" s="2"/>
      <c r="J96" s="2"/>
      <c r="K96" s="2"/>
      <c r="L96" s="2"/>
      <c r="M96" s="2"/>
      <c r="N96" s="2"/>
      <c r="O96" s="2"/>
      <c r="P96" s="2"/>
      <c r="Q96" s="2"/>
      <c r="R96" s="2"/>
      <c r="S96" s="2"/>
      <c r="T96" s="2"/>
      <c r="U96" s="2"/>
      <c r="V96" s="2"/>
      <c r="W96" s="2"/>
      <c r="X96" s="2"/>
    </row>
    <row r="97">
      <c r="A97" s="2"/>
      <c r="B97" s="2"/>
      <c r="C97" s="15"/>
      <c r="D97" s="15"/>
      <c r="E97" s="15"/>
      <c r="F97" s="2"/>
      <c r="G97" s="2"/>
      <c r="H97" s="2"/>
      <c r="I97" s="2"/>
      <c r="J97" s="2"/>
      <c r="K97" s="2"/>
      <c r="L97" s="2"/>
      <c r="M97" s="2"/>
      <c r="N97" s="2"/>
      <c r="O97" s="2"/>
      <c r="P97" s="2"/>
      <c r="Q97" s="2"/>
      <c r="R97" s="2"/>
      <c r="S97" s="2"/>
      <c r="T97" s="2"/>
      <c r="U97" s="2"/>
      <c r="V97" s="2"/>
      <c r="W97" s="2"/>
      <c r="X97" s="2"/>
    </row>
    <row r="98">
      <c r="A98" s="2"/>
      <c r="B98" s="2"/>
      <c r="C98" s="15"/>
      <c r="D98" s="15"/>
      <c r="E98" s="15"/>
      <c r="F98" s="2"/>
      <c r="G98" s="2"/>
      <c r="H98" s="2"/>
      <c r="I98" s="2"/>
      <c r="J98" s="2"/>
      <c r="K98" s="2"/>
      <c r="L98" s="2"/>
      <c r="M98" s="2"/>
      <c r="N98" s="2"/>
      <c r="O98" s="2"/>
      <c r="P98" s="2"/>
      <c r="Q98" s="2"/>
      <c r="R98" s="2"/>
      <c r="S98" s="2"/>
      <c r="T98" s="2"/>
      <c r="U98" s="2"/>
      <c r="V98" s="2"/>
      <c r="W98" s="2"/>
      <c r="X98" s="2"/>
    </row>
    <row r="99">
      <c r="A99" s="2"/>
      <c r="B99" s="2"/>
      <c r="C99" s="15"/>
      <c r="D99" s="15"/>
      <c r="E99" s="15"/>
      <c r="F99" s="2"/>
      <c r="G99" s="2"/>
      <c r="H99" s="2"/>
      <c r="I99" s="2"/>
      <c r="J99" s="2"/>
      <c r="K99" s="2"/>
      <c r="L99" s="2"/>
      <c r="M99" s="2"/>
      <c r="N99" s="2"/>
      <c r="O99" s="2"/>
      <c r="P99" s="2"/>
      <c r="Q99" s="2"/>
      <c r="R99" s="2"/>
      <c r="S99" s="2"/>
      <c r="T99" s="2"/>
      <c r="U99" s="2"/>
      <c r="V99" s="2"/>
      <c r="W99" s="2"/>
      <c r="X99" s="2"/>
    </row>
    <row r="100">
      <c r="A100" s="2"/>
      <c r="B100" s="2"/>
      <c r="C100" s="15"/>
      <c r="D100" s="15"/>
      <c r="E100" s="15"/>
      <c r="F100" s="2"/>
      <c r="G100" s="2"/>
      <c r="H100" s="2"/>
      <c r="I100" s="2"/>
      <c r="J100" s="2"/>
      <c r="K100" s="2"/>
      <c r="L100" s="2"/>
      <c r="M100" s="2"/>
      <c r="N100" s="2"/>
      <c r="O100" s="2"/>
      <c r="P100" s="2"/>
      <c r="Q100" s="2"/>
      <c r="R100" s="2"/>
      <c r="S100" s="2"/>
      <c r="T100" s="2"/>
      <c r="U100" s="2"/>
      <c r="V100" s="2"/>
      <c r="W100" s="2"/>
      <c r="X100" s="2"/>
    </row>
    <row r="101">
      <c r="A101" s="2"/>
      <c r="B101" s="2"/>
      <c r="C101" s="15"/>
      <c r="D101" s="15"/>
      <c r="E101" s="15"/>
      <c r="F101" s="2"/>
      <c r="G101" s="2"/>
      <c r="H101" s="2"/>
      <c r="I101" s="2"/>
      <c r="J101" s="2"/>
      <c r="K101" s="2"/>
      <c r="L101" s="2"/>
      <c r="M101" s="2"/>
      <c r="N101" s="2"/>
      <c r="O101" s="2"/>
      <c r="P101" s="2"/>
      <c r="Q101" s="2"/>
      <c r="R101" s="2"/>
      <c r="S101" s="2"/>
      <c r="T101" s="2"/>
      <c r="U101" s="2"/>
      <c r="V101" s="2"/>
      <c r="W101" s="2"/>
      <c r="X101" s="2"/>
    </row>
    <row r="102">
      <c r="A102" s="2"/>
      <c r="B102" s="2"/>
      <c r="C102" s="15"/>
      <c r="D102" s="15"/>
      <c r="E102" s="15"/>
      <c r="F102" s="2"/>
      <c r="G102" s="2"/>
      <c r="H102" s="2"/>
      <c r="I102" s="2"/>
      <c r="J102" s="2"/>
      <c r="K102" s="2"/>
      <c r="L102" s="2"/>
      <c r="M102" s="2"/>
      <c r="N102" s="2"/>
      <c r="O102" s="2"/>
      <c r="P102" s="2"/>
      <c r="Q102" s="2"/>
      <c r="R102" s="2"/>
      <c r="S102" s="2"/>
      <c r="T102" s="2"/>
      <c r="U102" s="2"/>
      <c r="V102" s="2"/>
      <c r="W102" s="2"/>
      <c r="X102" s="2"/>
    </row>
    <row r="103">
      <c r="A103" s="2"/>
      <c r="B103" s="2"/>
      <c r="C103" s="15"/>
      <c r="D103" s="15"/>
      <c r="E103" s="15"/>
      <c r="F103" s="2"/>
      <c r="G103" s="2"/>
      <c r="H103" s="2"/>
      <c r="I103" s="2"/>
      <c r="J103" s="2"/>
      <c r="K103" s="2"/>
      <c r="L103" s="2"/>
      <c r="M103" s="2"/>
      <c r="N103" s="2"/>
      <c r="O103" s="2"/>
      <c r="P103" s="2"/>
      <c r="Q103" s="2"/>
      <c r="R103" s="2"/>
      <c r="S103" s="2"/>
      <c r="T103" s="2"/>
      <c r="U103" s="2"/>
      <c r="V103" s="2"/>
      <c r="W103" s="2"/>
      <c r="X103" s="2"/>
    </row>
    <row r="104">
      <c r="A104" s="2"/>
      <c r="B104" s="2"/>
      <c r="C104" s="15"/>
      <c r="D104" s="15"/>
      <c r="E104" s="15"/>
      <c r="F104" s="2"/>
      <c r="G104" s="2"/>
      <c r="H104" s="2"/>
      <c r="I104" s="2"/>
      <c r="J104" s="2"/>
      <c r="K104" s="2"/>
      <c r="L104" s="2"/>
      <c r="M104" s="2"/>
      <c r="N104" s="2"/>
      <c r="O104" s="2"/>
      <c r="P104" s="2"/>
      <c r="Q104" s="2"/>
      <c r="R104" s="2"/>
      <c r="S104" s="2"/>
      <c r="T104" s="2"/>
      <c r="U104" s="2"/>
      <c r="V104" s="2"/>
      <c r="W104" s="2"/>
      <c r="X104" s="2"/>
    </row>
    <row r="105">
      <c r="A105" s="2"/>
      <c r="B105" s="2"/>
      <c r="C105" s="15"/>
      <c r="D105" s="15"/>
      <c r="E105" s="15"/>
      <c r="F105" s="2"/>
      <c r="G105" s="2"/>
      <c r="H105" s="2"/>
      <c r="I105" s="2"/>
      <c r="J105" s="2"/>
      <c r="K105" s="2"/>
      <c r="L105" s="2"/>
      <c r="M105" s="2"/>
      <c r="N105" s="2"/>
      <c r="O105" s="2"/>
      <c r="P105" s="2"/>
      <c r="Q105" s="2"/>
      <c r="R105" s="2"/>
      <c r="S105" s="2"/>
      <c r="T105" s="2"/>
      <c r="U105" s="2"/>
      <c r="V105" s="2"/>
      <c r="W105" s="2"/>
      <c r="X105" s="2"/>
    </row>
    <row r="106">
      <c r="A106" s="2"/>
      <c r="B106" s="2"/>
      <c r="C106" s="15"/>
      <c r="D106" s="15"/>
      <c r="E106" s="15"/>
      <c r="F106" s="2"/>
      <c r="G106" s="2"/>
      <c r="H106" s="2"/>
      <c r="I106" s="2"/>
      <c r="J106" s="2"/>
      <c r="K106" s="2"/>
      <c r="L106" s="2"/>
      <c r="M106" s="2"/>
      <c r="N106" s="2"/>
      <c r="O106" s="2"/>
      <c r="P106" s="2"/>
      <c r="Q106" s="2"/>
      <c r="R106" s="2"/>
      <c r="S106" s="2"/>
      <c r="T106" s="2"/>
      <c r="U106" s="2"/>
      <c r="V106" s="2"/>
      <c r="W106" s="2"/>
      <c r="X106" s="2"/>
    </row>
    <row r="107">
      <c r="A107" s="2"/>
      <c r="B107" s="2"/>
      <c r="C107" s="15"/>
      <c r="D107" s="15"/>
      <c r="E107" s="15"/>
      <c r="F107" s="2"/>
      <c r="G107" s="2"/>
      <c r="H107" s="2"/>
      <c r="I107" s="2"/>
      <c r="J107" s="2"/>
      <c r="K107" s="2"/>
      <c r="L107" s="2"/>
      <c r="M107" s="2"/>
      <c r="N107" s="2"/>
      <c r="O107" s="2"/>
      <c r="P107" s="2"/>
      <c r="Q107" s="2"/>
      <c r="R107" s="2"/>
      <c r="S107" s="2"/>
      <c r="T107" s="2"/>
      <c r="U107" s="2"/>
      <c r="V107" s="2"/>
      <c r="W107" s="2"/>
      <c r="X107" s="2"/>
    </row>
    <row r="108">
      <c r="A108" s="2"/>
      <c r="B108" s="2"/>
      <c r="C108" s="15"/>
      <c r="D108" s="15"/>
      <c r="E108" s="15"/>
      <c r="F108" s="2"/>
      <c r="G108" s="2"/>
      <c r="H108" s="2"/>
      <c r="I108" s="2"/>
      <c r="J108" s="2"/>
      <c r="K108" s="2"/>
      <c r="L108" s="2"/>
      <c r="M108" s="2"/>
      <c r="N108" s="2"/>
      <c r="O108" s="2"/>
      <c r="P108" s="2"/>
      <c r="Q108" s="2"/>
      <c r="R108" s="2"/>
      <c r="S108" s="2"/>
      <c r="T108" s="2"/>
      <c r="U108" s="2"/>
      <c r="V108" s="2"/>
      <c r="W108" s="2"/>
      <c r="X108" s="2"/>
    </row>
    <row r="109">
      <c r="A109" s="2"/>
      <c r="B109" s="2"/>
      <c r="C109" s="15"/>
      <c r="D109" s="15"/>
      <c r="E109" s="15"/>
      <c r="F109" s="2"/>
      <c r="G109" s="2"/>
      <c r="H109" s="2"/>
      <c r="I109" s="2"/>
      <c r="J109" s="2"/>
      <c r="K109" s="2"/>
      <c r="L109" s="2"/>
      <c r="M109" s="2"/>
      <c r="N109" s="2"/>
      <c r="O109" s="2"/>
      <c r="P109" s="2"/>
      <c r="Q109" s="2"/>
      <c r="R109" s="2"/>
      <c r="S109" s="2"/>
      <c r="T109" s="2"/>
      <c r="U109" s="2"/>
      <c r="V109" s="2"/>
      <c r="W109" s="2"/>
      <c r="X109" s="2"/>
    </row>
    <row r="110">
      <c r="A110" s="2"/>
      <c r="B110" s="2"/>
      <c r="C110" s="15"/>
      <c r="D110" s="15"/>
      <c r="E110" s="15"/>
      <c r="F110" s="2"/>
      <c r="G110" s="2"/>
      <c r="H110" s="2"/>
      <c r="I110" s="2"/>
      <c r="J110" s="2"/>
      <c r="K110" s="2"/>
      <c r="L110" s="2"/>
      <c r="M110" s="2"/>
      <c r="N110" s="2"/>
      <c r="O110" s="2"/>
      <c r="P110" s="2"/>
      <c r="Q110" s="2"/>
      <c r="R110" s="2"/>
      <c r="S110" s="2"/>
      <c r="T110" s="2"/>
      <c r="U110" s="2"/>
      <c r="V110" s="2"/>
      <c r="W110" s="2"/>
      <c r="X110" s="2"/>
    </row>
    <row r="111">
      <c r="A111" s="2"/>
      <c r="B111" s="2"/>
      <c r="C111" s="15"/>
      <c r="D111" s="15"/>
      <c r="E111" s="15"/>
      <c r="F111" s="2"/>
      <c r="G111" s="2"/>
      <c r="H111" s="2"/>
      <c r="I111" s="2"/>
      <c r="J111" s="2"/>
      <c r="K111" s="2"/>
      <c r="L111" s="2"/>
      <c r="M111" s="2"/>
      <c r="N111" s="2"/>
      <c r="O111" s="2"/>
      <c r="P111" s="2"/>
      <c r="Q111" s="2"/>
      <c r="R111" s="2"/>
      <c r="S111" s="2"/>
      <c r="T111" s="2"/>
      <c r="U111" s="2"/>
      <c r="V111" s="2"/>
      <c r="W111" s="2"/>
      <c r="X111" s="2"/>
    </row>
    <row r="112">
      <c r="A112" s="2"/>
      <c r="B112" s="2"/>
      <c r="C112" s="15"/>
      <c r="D112" s="15"/>
      <c r="E112" s="15"/>
      <c r="F112" s="2"/>
      <c r="G112" s="2"/>
      <c r="H112" s="2"/>
      <c r="I112" s="2"/>
      <c r="J112" s="2"/>
      <c r="K112" s="2"/>
      <c r="L112" s="2"/>
      <c r="M112" s="2"/>
      <c r="N112" s="2"/>
      <c r="O112" s="2"/>
      <c r="P112" s="2"/>
      <c r="Q112" s="2"/>
      <c r="R112" s="2"/>
      <c r="S112" s="2"/>
      <c r="T112" s="2"/>
      <c r="U112" s="2"/>
      <c r="V112" s="2"/>
      <c r="W112" s="2"/>
      <c r="X112" s="2"/>
    </row>
    <row r="113">
      <c r="A113" s="2"/>
      <c r="B113" s="2"/>
      <c r="C113" s="15"/>
      <c r="D113" s="15"/>
      <c r="E113" s="15"/>
      <c r="F113" s="2"/>
      <c r="G113" s="2"/>
      <c r="H113" s="2"/>
      <c r="I113" s="2"/>
      <c r="J113" s="2"/>
      <c r="K113" s="2"/>
      <c r="L113" s="2"/>
      <c r="M113" s="2"/>
      <c r="N113" s="2"/>
      <c r="O113" s="2"/>
      <c r="P113" s="2"/>
      <c r="Q113" s="2"/>
      <c r="R113" s="2"/>
      <c r="S113" s="2"/>
      <c r="T113" s="2"/>
      <c r="U113" s="2"/>
      <c r="V113" s="2"/>
      <c r="W113" s="2"/>
      <c r="X113" s="2"/>
    </row>
    <row r="114">
      <c r="A114" s="2"/>
      <c r="B114" s="2"/>
      <c r="C114" s="15"/>
      <c r="D114" s="15"/>
      <c r="E114" s="15"/>
      <c r="F114" s="2"/>
      <c r="G114" s="2"/>
      <c r="H114" s="2"/>
      <c r="I114" s="2"/>
      <c r="J114" s="2"/>
      <c r="K114" s="2"/>
      <c r="L114" s="2"/>
      <c r="M114" s="2"/>
      <c r="N114" s="2"/>
      <c r="O114" s="2"/>
      <c r="P114" s="2"/>
      <c r="Q114" s="2"/>
      <c r="R114" s="2"/>
      <c r="S114" s="2"/>
      <c r="T114" s="2"/>
      <c r="U114" s="2"/>
      <c r="V114" s="2"/>
      <c r="W114" s="2"/>
      <c r="X114" s="2"/>
    </row>
    <row r="115">
      <c r="A115" s="2"/>
      <c r="B115" s="2"/>
      <c r="C115" s="15"/>
      <c r="D115" s="15"/>
      <c r="E115" s="15"/>
      <c r="F115" s="2"/>
      <c r="G115" s="2"/>
      <c r="H115" s="2"/>
      <c r="I115" s="2"/>
      <c r="J115" s="2"/>
      <c r="K115" s="2"/>
      <c r="L115" s="2"/>
      <c r="M115" s="2"/>
      <c r="N115" s="2"/>
      <c r="O115" s="2"/>
      <c r="P115" s="2"/>
      <c r="Q115" s="2"/>
      <c r="R115" s="2"/>
      <c r="S115" s="2"/>
      <c r="T115" s="2"/>
      <c r="U115" s="2"/>
      <c r="V115" s="2"/>
      <c r="W115" s="2"/>
      <c r="X115" s="2"/>
    </row>
    <row r="116">
      <c r="A116" s="2"/>
      <c r="B116" s="2"/>
      <c r="C116" s="15"/>
      <c r="D116" s="15"/>
      <c r="E116" s="15"/>
      <c r="F116" s="2"/>
      <c r="G116" s="2"/>
      <c r="H116" s="2"/>
      <c r="I116" s="2"/>
      <c r="J116" s="2"/>
      <c r="K116" s="2"/>
      <c r="L116" s="2"/>
      <c r="M116" s="2"/>
      <c r="N116" s="2"/>
      <c r="O116" s="2"/>
      <c r="P116" s="2"/>
      <c r="Q116" s="2"/>
      <c r="R116" s="2"/>
      <c r="S116" s="2"/>
      <c r="T116" s="2"/>
      <c r="U116" s="2"/>
      <c r="V116" s="2"/>
      <c r="W116" s="2"/>
      <c r="X116" s="2"/>
    </row>
    <row r="117">
      <c r="A117" s="2"/>
      <c r="B117" s="2"/>
      <c r="C117" s="15"/>
      <c r="D117" s="15"/>
      <c r="E117" s="15"/>
      <c r="F117" s="2"/>
      <c r="G117" s="2"/>
      <c r="H117" s="2"/>
      <c r="I117" s="2"/>
      <c r="J117" s="2"/>
      <c r="K117" s="2"/>
      <c r="L117" s="2"/>
      <c r="M117" s="2"/>
      <c r="N117" s="2"/>
      <c r="O117" s="2"/>
      <c r="P117" s="2"/>
      <c r="Q117" s="2"/>
      <c r="R117" s="2"/>
      <c r="S117" s="2"/>
      <c r="T117" s="2"/>
      <c r="U117" s="2"/>
      <c r="V117" s="2"/>
      <c r="W117" s="2"/>
      <c r="X117" s="2"/>
    </row>
    <row r="118">
      <c r="A118" s="2"/>
      <c r="B118" s="2"/>
      <c r="C118" s="15"/>
      <c r="D118" s="15"/>
      <c r="E118" s="15"/>
      <c r="F118" s="2"/>
      <c r="G118" s="2"/>
      <c r="H118" s="2"/>
      <c r="I118" s="2"/>
      <c r="J118" s="2"/>
      <c r="K118" s="2"/>
      <c r="L118" s="2"/>
      <c r="M118" s="2"/>
      <c r="N118" s="2"/>
      <c r="O118" s="2"/>
      <c r="P118" s="2"/>
      <c r="Q118" s="2"/>
      <c r="R118" s="2"/>
      <c r="S118" s="2"/>
      <c r="T118" s="2"/>
      <c r="U118" s="2"/>
      <c r="V118" s="2"/>
      <c r="W118" s="2"/>
      <c r="X118" s="2"/>
    </row>
    <row r="119">
      <c r="A119" s="2"/>
      <c r="B119" s="2"/>
      <c r="C119" s="15"/>
      <c r="D119" s="15"/>
      <c r="E119" s="15"/>
      <c r="F119" s="2"/>
      <c r="G119" s="2"/>
      <c r="H119" s="2"/>
      <c r="I119" s="2"/>
      <c r="J119" s="2"/>
      <c r="K119" s="2"/>
      <c r="L119" s="2"/>
      <c r="M119" s="2"/>
      <c r="N119" s="2"/>
      <c r="O119" s="2"/>
      <c r="P119" s="2"/>
      <c r="Q119" s="2"/>
      <c r="R119" s="2"/>
      <c r="S119" s="2"/>
      <c r="T119" s="2"/>
      <c r="U119" s="2"/>
      <c r="V119" s="2"/>
      <c r="W119" s="2"/>
      <c r="X119" s="2"/>
    </row>
    <row r="120">
      <c r="A120" s="2"/>
      <c r="B120" s="2"/>
      <c r="C120" s="15"/>
      <c r="D120" s="15"/>
      <c r="E120" s="15"/>
      <c r="F120" s="2"/>
      <c r="G120" s="2"/>
      <c r="H120" s="2"/>
      <c r="I120" s="2"/>
      <c r="J120" s="2"/>
      <c r="K120" s="2"/>
      <c r="L120" s="2"/>
      <c r="M120" s="2"/>
      <c r="N120" s="2"/>
      <c r="O120" s="2"/>
      <c r="P120" s="2"/>
      <c r="Q120" s="2"/>
      <c r="R120" s="2"/>
      <c r="S120" s="2"/>
      <c r="T120" s="2"/>
      <c r="U120" s="2"/>
      <c r="V120" s="2"/>
      <c r="W120" s="2"/>
      <c r="X120" s="2"/>
    </row>
    <row r="121">
      <c r="A121" s="2"/>
      <c r="B121" s="2"/>
      <c r="C121" s="15"/>
      <c r="D121" s="15"/>
      <c r="E121" s="15"/>
      <c r="F121" s="2"/>
      <c r="G121" s="2"/>
      <c r="H121" s="2"/>
      <c r="I121" s="2"/>
      <c r="J121" s="2"/>
      <c r="K121" s="2"/>
      <c r="L121" s="2"/>
      <c r="M121" s="2"/>
      <c r="N121" s="2"/>
      <c r="O121" s="2"/>
      <c r="P121" s="2"/>
      <c r="Q121" s="2"/>
      <c r="R121" s="2"/>
      <c r="S121" s="2"/>
      <c r="T121" s="2"/>
      <c r="U121" s="2"/>
      <c r="V121" s="2"/>
      <c r="W121" s="2"/>
      <c r="X121" s="2"/>
    </row>
    <row r="122">
      <c r="A122" s="2"/>
      <c r="B122" s="2"/>
      <c r="C122" s="15"/>
      <c r="D122" s="15"/>
      <c r="E122" s="15"/>
      <c r="F122" s="2"/>
      <c r="G122" s="2"/>
      <c r="H122" s="2"/>
      <c r="I122" s="2"/>
      <c r="J122" s="2"/>
      <c r="K122" s="2"/>
      <c r="L122" s="2"/>
      <c r="M122" s="2"/>
      <c r="N122" s="2"/>
      <c r="O122" s="2"/>
      <c r="P122" s="2"/>
      <c r="Q122" s="2"/>
      <c r="R122" s="2"/>
      <c r="S122" s="2"/>
      <c r="T122" s="2"/>
      <c r="U122" s="2"/>
      <c r="V122" s="2"/>
      <c r="W122" s="2"/>
      <c r="X122" s="2"/>
    </row>
    <row r="123">
      <c r="A123" s="2"/>
      <c r="B123" s="2"/>
      <c r="C123" s="15"/>
      <c r="D123" s="15"/>
      <c r="E123" s="15"/>
      <c r="F123" s="2"/>
      <c r="G123" s="2"/>
      <c r="H123" s="2"/>
      <c r="I123" s="2"/>
      <c r="J123" s="2"/>
      <c r="K123" s="2"/>
      <c r="L123" s="2"/>
      <c r="M123" s="2"/>
      <c r="N123" s="2"/>
      <c r="O123" s="2"/>
      <c r="P123" s="2"/>
      <c r="Q123" s="2"/>
      <c r="R123" s="2"/>
      <c r="S123" s="2"/>
      <c r="T123" s="2"/>
      <c r="U123" s="2"/>
      <c r="V123" s="2"/>
      <c r="W123" s="2"/>
      <c r="X123" s="2"/>
    </row>
    <row r="124">
      <c r="A124" s="2"/>
      <c r="B124" s="2"/>
      <c r="C124" s="15"/>
      <c r="D124" s="15"/>
      <c r="E124" s="15"/>
      <c r="F124" s="2"/>
      <c r="G124" s="2"/>
      <c r="H124" s="2"/>
      <c r="I124" s="2"/>
      <c r="J124" s="2"/>
      <c r="K124" s="2"/>
      <c r="L124" s="2"/>
      <c r="M124" s="2"/>
      <c r="N124" s="2"/>
      <c r="O124" s="2"/>
      <c r="P124" s="2"/>
      <c r="Q124" s="2"/>
      <c r="R124" s="2"/>
      <c r="S124" s="2"/>
      <c r="T124" s="2"/>
      <c r="U124" s="2"/>
      <c r="V124" s="2"/>
      <c r="W124" s="2"/>
      <c r="X124" s="2"/>
    </row>
    <row r="125">
      <c r="A125" s="2"/>
      <c r="B125" s="2"/>
      <c r="C125" s="15"/>
      <c r="D125" s="15"/>
      <c r="E125" s="15"/>
      <c r="F125" s="2"/>
      <c r="G125" s="2"/>
      <c r="H125" s="2"/>
      <c r="I125" s="2"/>
      <c r="J125" s="2"/>
      <c r="K125" s="2"/>
      <c r="L125" s="2"/>
      <c r="M125" s="2"/>
      <c r="N125" s="2"/>
      <c r="O125" s="2"/>
      <c r="P125" s="2"/>
      <c r="Q125" s="2"/>
      <c r="R125" s="2"/>
      <c r="S125" s="2"/>
      <c r="T125" s="2"/>
      <c r="U125" s="2"/>
      <c r="V125" s="2"/>
      <c r="W125" s="2"/>
      <c r="X125" s="2"/>
    </row>
    <row r="126">
      <c r="A126" s="2"/>
      <c r="B126" s="2"/>
      <c r="C126" s="15"/>
      <c r="D126" s="15"/>
      <c r="E126" s="15"/>
      <c r="F126" s="2"/>
      <c r="G126" s="2"/>
      <c r="H126" s="2"/>
      <c r="I126" s="2"/>
      <c r="J126" s="2"/>
      <c r="K126" s="2"/>
      <c r="L126" s="2"/>
      <c r="M126" s="2"/>
      <c r="N126" s="2"/>
      <c r="O126" s="2"/>
      <c r="P126" s="2"/>
      <c r="Q126" s="2"/>
      <c r="R126" s="2"/>
      <c r="S126" s="2"/>
      <c r="T126" s="2"/>
      <c r="U126" s="2"/>
      <c r="V126" s="2"/>
      <c r="W126" s="2"/>
      <c r="X126" s="2"/>
    </row>
    <row r="127">
      <c r="A127" s="2"/>
      <c r="B127" s="2"/>
      <c r="C127" s="15"/>
      <c r="D127" s="15"/>
      <c r="E127" s="15"/>
      <c r="F127" s="2"/>
      <c r="G127" s="2"/>
      <c r="H127" s="2"/>
      <c r="I127" s="2"/>
      <c r="J127" s="2"/>
      <c r="K127" s="2"/>
      <c r="L127" s="2"/>
      <c r="M127" s="2"/>
      <c r="N127" s="2"/>
      <c r="O127" s="2"/>
      <c r="P127" s="2"/>
      <c r="Q127" s="2"/>
      <c r="R127" s="2"/>
      <c r="S127" s="2"/>
      <c r="T127" s="2"/>
      <c r="U127" s="2"/>
      <c r="V127" s="2"/>
      <c r="W127" s="2"/>
      <c r="X127" s="2"/>
    </row>
    <row r="128">
      <c r="A128" s="2"/>
      <c r="B128" s="2"/>
      <c r="C128" s="15"/>
      <c r="D128" s="15"/>
      <c r="E128" s="15"/>
      <c r="F128" s="2"/>
      <c r="G128" s="2"/>
      <c r="H128" s="2"/>
      <c r="I128" s="2"/>
      <c r="J128" s="2"/>
      <c r="K128" s="2"/>
      <c r="L128" s="2"/>
      <c r="M128" s="2"/>
      <c r="N128" s="2"/>
      <c r="O128" s="2"/>
      <c r="P128" s="2"/>
      <c r="Q128" s="2"/>
      <c r="R128" s="2"/>
      <c r="S128" s="2"/>
      <c r="T128" s="2"/>
      <c r="U128" s="2"/>
      <c r="V128" s="2"/>
      <c r="W128" s="2"/>
      <c r="X128" s="2"/>
    </row>
    <row r="129">
      <c r="A129" s="2"/>
      <c r="B129" s="2"/>
      <c r="C129" s="15"/>
      <c r="D129" s="15"/>
      <c r="E129" s="15"/>
      <c r="F129" s="2"/>
      <c r="G129" s="2"/>
      <c r="H129" s="2"/>
      <c r="I129" s="2"/>
      <c r="J129" s="2"/>
      <c r="K129" s="2"/>
      <c r="L129" s="2"/>
      <c r="M129" s="2"/>
      <c r="N129" s="2"/>
      <c r="O129" s="2"/>
      <c r="P129" s="2"/>
      <c r="Q129" s="2"/>
      <c r="R129" s="2"/>
      <c r="S129" s="2"/>
      <c r="T129" s="2"/>
      <c r="U129" s="2"/>
      <c r="V129" s="2"/>
      <c r="W129" s="2"/>
      <c r="X129" s="2"/>
    </row>
    <row r="130">
      <c r="A130" s="2"/>
      <c r="B130" s="2"/>
      <c r="C130" s="15"/>
      <c r="D130" s="15"/>
      <c r="E130" s="15"/>
      <c r="F130" s="2"/>
      <c r="G130" s="2"/>
      <c r="H130" s="2"/>
      <c r="I130" s="2"/>
      <c r="J130" s="2"/>
      <c r="K130" s="2"/>
      <c r="L130" s="2"/>
      <c r="M130" s="2"/>
      <c r="N130" s="2"/>
      <c r="O130" s="2"/>
      <c r="P130" s="2"/>
      <c r="Q130" s="2"/>
      <c r="R130" s="2"/>
      <c r="S130" s="2"/>
      <c r="T130" s="2"/>
      <c r="U130" s="2"/>
      <c r="V130" s="2"/>
      <c r="W130" s="2"/>
      <c r="X130" s="2"/>
    </row>
    <row r="131">
      <c r="A131" s="2"/>
      <c r="B131" s="2"/>
      <c r="C131" s="15"/>
      <c r="D131" s="15"/>
      <c r="E131" s="15"/>
      <c r="F131" s="2"/>
      <c r="G131" s="2"/>
      <c r="H131" s="2"/>
      <c r="I131" s="2"/>
      <c r="J131" s="2"/>
      <c r="K131" s="2"/>
      <c r="L131" s="2"/>
      <c r="M131" s="2"/>
      <c r="N131" s="2"/>
      <c r="O131" s="2"/>
      <c r="P131" s="2"/>
      <c r="Q131" s="2"/>
      <c r="R131" s="2"/>
      <c r="S131" s="2"/>
      <c r="T131" s="2"/>
      <c r="U131" s="2"/>
      <c r="V131" s="2"/>
      <c r="W131" s="2"/>
      <c r="X131" s="2"/>
    </row>
    <row r="132">
      <c r="A132" s="2"/>
      <c r="B132" s="2"/>
      <c r="C132" s="15"/>
      <c r="D132" s="15"/>
      <c r="E132" s="15"/>
      <c r="F132" s="2"/>
      <c r="G132" s="2"/>
      <c r="H132" s="2"/>
      <c r="I132" s="2"/>
      <c r="J132" s="2"/>
      <c r="K132" s="2"/>
      <c r="L132" s="2"/>
      <c r="M132" s="2"/>
      <c r="N132" s="2"/>
      <c r="O132" s="2"/>
      <c r="P132" s="2"/>
      <c r="Q132" s="2"/>
      <c r="R132" s="2"/>
      <c r="S132" s="2"/>
      <c r="T132" s="2"/>
      <c r="U132" s="2"/>
      <c r="V132" s="2"/>
      <c r="W132" s="2"/>
      <c r="X132" s="2"/>
    </row>
    <row r="133">
      <c r="A133" s="2"/>
      <c r="B133" s="2"/>
      <c r="C133" s="15"/>
      <c r="D133" s="15"/>
      <c r="E133" s="15"/>
      <c r="F133" s="2"/>
      <c r="G133" s="2"/>
      <c r="H133" s="2"/>
      <c r="I133" s="2"/>
      <c r="J133" s="2"/>
      <c r="K133" s="2"/>
      <c r="L133" s="2"/>
      <c r="M133" s="2"/>
      <c r="N133" s="2"/>
      <c r="O133" s="2"/>
      <c r="P133" s="2"/>
      <c r="Q133" s="2"/>
      <c r="R133" s="2"/>
      <c r="S133" s="2"/>
      <c r="T133" s="2"/>
      <c r="U133" s="2"/>
      <c r="V133" s="2"/>
      <c r="W133" s="2"/>
      <c r="X133" s="2"/>
    </row>
    <row r="134">
      <c r="A134" s="2"/>
      <c r="B134" s="2"/>
      <c r="C134" s="15"/>
      <c r="D134" s="15"/>
      <c r="E134" s="15"/>
      <c r="F134" s="2"/>
      <c r="G134" s="2"/>
      <c r="H134" s="2"/>
      <c r="I134" s="2"/>
      <c r="J134" s="2"/>
      <c r="K134" s="2"/>
      <c r="L134" s="2"/>
      <c r="M134" s="2"/>
      <c r="N134" s="2"/>
      <c r="O134" s="2"/>
      <c r="P134" s="2"/>
      <c r="Q134" s="2"/>
      <c r="R134" s="2"/>
      <c r="S134" s="2"/>
      <c r="T134" s="2"/>
      <c r="U134" s="2"/>
      <c r="V134" s="2"/>
      <c r="W134" s="2"/>
      <c r="X134" s="2"/>
    </row>
    <row r="135">
      <c r="A135" s="2"/>
      <c r="B135" s="2"/>
      <c r="C135" s="15"/>
      <c r="D135" s="15"/>
      <c r="E135" s="15"/>
      <c r="F135" s="2"/>
      <c r="G135" s="2"/>
      <c r="H135" s="2"/>
      <c r="I135" s="2"/>
      <c r="J135" s="2"/>
      <c r="K135" s="2"/>
      <c r="L135" s="2"/>
      <c r="M135" s="2"/>
      <c r="N135" s="2"/>
      <c r="O135" s="2"/>
      <c r="P135" s="2"/>
      <c r="Q135" s="2"/>
      <c r="R135" s="2"/>
      <c r="S135" s="2"/>
      <c r="T135" s="2"/>
      <c r="U135" s="2"/>
      <c r="V135" s="2"/>
      <c r="W135" s="2"/>
      <c r="X135" s="2"/>
    </row>
    <row r="136">
      <c r="A136" s="2"/>
      <c r="B136" s="2"/>
      <c r="C136" s="15"/>
      <c r="D136" s="15"/>
      <c r="E136" s="15"/>
      <c r="F136" s="2"/>
      <c r="G136" s="2"/>
      <c r="H136" s="2"/>
      <c r="I136" s="2"/>
      <c r="J136" s="2"/>
      <c r="K136" s="2"/>
      <c r="L136" s="2"/>
      <c r="M136" s="2"/>
      <c r="N136" s="2"/>
      <c r="O136" s="2"/>
      <c r="P136" s="2"/>
      <c r="Q136" s="2"/>
      <c r="R136" s="2"/>
      <c r="S136" s="2"/>
      <c r="T136" s="2"/>
      <c r="U136" s="2"/>
      <c r="V136" s="2"/>
      <c r="W136" s="2"/>
      <c r="X136" s="2"/>
    </row>
    <row r="137">
      <c r="A137" s="2"/>
      <c r="B137" s="2"/>
      <c r="C137" s="15"/>
      <c r="D137" s="15"/>
      <c r="E137" s="15"/>
      <c r="F137" s="2"/>
      <c r="G137" s="2"/>
      <c r="H137" s="2"/>
      <c r="I137" s="2"/>
      <c r="J137" s="2"/>
      <c r="K137" s="2"/>
      <c r="L137" s="2"/>
      <c r="M137" s="2"/>
      <c r="N137" s="2"/>
      <c r="O137" s="2"/>
      <c r="P137" s="2"/>
      <c r="Q137" s="2"/>
      <c r="R137" s="2"/>
      <c r="S137" s="2"/>
      <c r="T137" s="2"/>
      <c r="U137" s="2"/>
      <c r="V137" s="2"/>
      <c r="W137" s="2"/>
      <c r="X137" s="2"/>
    </row>
    <row r="138">
      <c r="A138" s="2"/>
      <c r="B138" s="2"/>
      <c r="C138" s="15"/>
      <c r="D138" s="15"/>
      <c r="E138" s="15"/>
      <c r="F138" s="2"/>
      <c r="G138" s="2"/>
      <c r="H138" s="2"/>
      <c r="I138" s="2"/>
      <c r="J138" s="2"/>
      <c r="K138" s="2"/>
      <c r="L138" s="2"/>
      <c r="M138" s="2"/>
      <c r="N138" s="2"/>
      <c r="O138" s="2"/>
      <c r="P138" s="2"/>
      <c r="Q138" s="2"/>
      <c r="R138" s="2"/>
      <c r="S138" s="2"/>
      <c r="T138" s="2"/>
      <c r="U138" s="2"/>
      <c r="V138" s="2"/>
      <c r="W138" s="2"/>
      <c r="X138" s="2"/>
    </row>
    <row r="139">
      <c r="A139" s="2"/>
      <c r="B139" s="2"/>
      <c r="C139" s="15"/>
      <c r="D139" s="15"/>
      <c r="E139" s="15"/>
      <c r="F139" s="2"/>
      <c r="G139" s="2"/>
      <c r="H139" s="2"/>
      <c r="I139" s="2"/>
      <c r="J139" s="2"/>
      <c r="K139" s="2"/>
      <c r="L139" s="2"/>
      <c r="M139" s="2"/>
      <c r="N139" s="2"/>
      <c r="O139" s="2"/>
      <c r="P139" s="2"/>
      <c r="Q139" s="2"/>
      <c r="R139" s="2"/>
      <c r="S139" s="2"/>
      <c r="T139" s="2"/>
      <c r="U139" s="2"/>
      <c r="V139" s="2"/>
      <c r="W139" s="2"/>
      <c r="X139" s="2"/>
    </row>
    <row r="140">
      <c r="A140" s="2"/>
      <c r="B140" s="2"/>
      <c r="C140" s="15"/>
      <c r="D140" s="15"/>
      <c r="E140" s="15"/>
      <c r="F140" s="2"/>
      <c r="G140" s="2"/>
      <c r="H140" s="2"/>
      <c r="I140" s="2"/>
      <c r="J140" s="2"/>
      <c r="K140" s="2"/>
      <c r="L140" s="2"/>
      <c r="M140" s="2"/>
      <c r="N140" s="2"/>
      <c r="O140" s="2"/>
      <c r="P140" s="2"/>
      <c r="Q140" s="2"/>
      <c r="R140" s="2"/>
      <c r="S140" s="2"/>
      <c r="T140" s="2"/>
      <c r="U140" s="2"/>
      <c r="V140" s="2"/>
      <c r="W140" s="2"/>
      <c r="X140" s="2"/>
    </row>
    <row r="141">
      <c r="A141" s="2"/>
      <c r="B141" s="2"/>
      <c r="C141" s="15"/>
      <c r="D141" s="15"/>
      <c r="E141" s="15"/>
      <c r="F141" s="2"/>
      <c r="G141" s="2"/>
      <c r="H141" s="2"/>
      <c r="I141" s="2"/>
      <c r="J141" s="2"/>
      <c r="K141" s="2"/>
      <c r="L141" s="2"/>
      <c r="M141" s="2"/>
      <c r="N141" s="2"/>
      <c r="O141" s="2"/>
      <c r="P141" s="2"/>
      <c r="Q141" s="2"/>
      <c r="R141" s="2"/>
      <c r="S141" s="2"/>
      <c r="T141" s="2"/>
      <c r="U141" s="2"/>
      <c r="V141" s="2"/>
      <c r="W141" s="2"/>
      <c r="X141" s="2"/>
    </row>
    <row r="142">
      <c r="A142" s="2"/>
      <c r="B142" s="2"/>
      <c r="C142" s="15"/>
      <c r="D142" s="15"/>
      <c r="E142" s="15"/>
      <c r="F142" s="2"/>
      <c r="G142" s="2"/>
      <c r="H142" s="2"/>
      <c r="I142" s="2"/>
      <c r="J142" s="2"/>
      <c r="K142" s="2"/>
      <c r="L142" s="2"/>
      <c r="M142" s="2"/>
      <c r="N142" s="2"/>
      <c r="O142" s="2"/>
      <c r="P142" s="2"/>
      <c r="Q142" s="2"/>
      <c r="R142" s="2"/>
      <c r="S142" s="2"/>
      <c r="T142" s="2"/>
      <c r="U142" s="2"/>
      <c r="V142" s="2"/>
      <c r="W142" s="2"/>
      <c r="X142" s="2"/>
    </row>
    <row r="143">
      <c r="A143" s="2"/>
      <c r="B143" s="2"/>
      <c r="C143" s="15"/>
      <c r="D143" s="15"/>
      <c r="E143" s="15"/>
      <c r="F143" s="2"/>
      <c r="G143" s="2"/>
      <c r="H143" s="2"/>
      <c r="I143" s="2"/>
      <c r="J143" s="2"/>
      <c r="K143" s="2"/>
      <c r="L143" s="2"/>
      <c r="M143" s="2"/>
      <c r="N143" s="2"/>
      <c r="O143" s="2"/>
      <c r="P143" s="2"/>
      <c r="Q143" s="2"/>
      <c r="R143" s="2"/>
      <c r="S143" s="2"/>
      <c r="T143" s="2"/>
      <c r="U143" s="2"/>
      <c r="V143" s="2"/>
      <c r="W143" s="2"/>
      <c r="X143" s="2"/>
    </row>
    <row r="144">
      <c r="A144" s="2"/>
      <c r="B144" s="2"/>
      <c r="C144" s="15"/>
      <c r="D144" s="15"/>
      <c r="E144" s="15"/>
      <c r="F144" s="2"/>
      <c r="G144" s="2"/>
      <c r="H144" s="2"/>
      <c r="I144" s="2"/>
      <c r="J144" s="2"/>
      <c r="K144" s="2"/>
      <c r="L144" s="2"/>
      <c r="M144" s="2"/>
      <c r="N144" s="2"/>
      <c r="O144" s="2"/>
      <c r="P144" s="2"/>
      <c r="Q144" s="2"/>
      <c r="R144" s="2"/>
      <c r="S144" s="2"/>
      <c r="T144" s="2"/>
      <c r="U144" s="2"/>
      <c r="V144" s="2"/>
      <c r="W144" s="2"/>
      <c r="X144" s="2"/>
    </row>
    <row r="145">
      <c r="A145" s="2"/>
      <c r="B145" s="2"/>
      <c r="C145" s="15"/>
      <c r="D145" s="15"/>
      <c r="E145" s="15"/>
      <c r="F145" s="2"/>
      <c r="G145" s="2"/>
      <c r="H145" s="2"/>
      <c r="I145" s="2"/>
      <c r="J145" s="2"/>
      <c r="K145" s="2"/>
      <c r="L145" s="2"/>
      <c r="M145" s="2"/>
      <c r="N145" s="2"/>
      <c r="O145" s="2"/>
      <c r="P145" s="2"/>
      <c r="Q145" s="2"/>
      <c r="R145" s="2"/>
      <c r="S145" s="2"/>
      <c r="T145" s="2"/>
      <c r="U145" s="2"/>
      <c r="V145" s="2"/>
      <c r="W145" s="2"/>
      <c r="X145" s="2"/>
    </row>
    <row r="146">
      <c r="A146" s="2"/>
      <c r="B146" s="2"/>
      <c r="C146" s="15"/>
      <c r="D146" s="15"/>
      <c r="E146" s="15"/>
      <c r="F146" s="2"/>
      <c r="G146" s="2"/>
      <c r="H146" s="2"/>
      <c r="I146" s="2"/>
      <c r="J146" s="2"/>
      <c r="K146" s="2"/>
      <c r="L146" s="2"/>
      <c r="M146" s="2"/>
      <c r="N146" s="2"/>
      <c r="O146" s="2"/>
      <c r="P146" s="2"/>
      <c r="Q146" s="2"/>
      <c r="R146" s="2"/>
      <c r="S146" s="2"/>
      <c r="T146" s="2"/>
      <c r="U146" s="2"/>
      <c r="V146" s="2"/>
      <c r="W146" s="2"/>
      <c r="X146" s="2"/>
    </row>
    <row r="147">
      <c r="A147" s="2"/>
      <c r="B147" s="2"/>
      <c r="C147" s="15"/>
      <c r="D147" s="15"/>
      <c r="E147" s="15"/>
      <c r="F147" s="2"/>
      <c r="G147" s="2"/>
      <c r="H147" s="2"/>
      <c r="I147" s="2"/>
      <c r="J147" s="2"/>
      <c r="K147" s="2"/>
      <c r="L147" s="2"/>
      <c r="M147" s="2"/>
      <c r="N147" s="2"/>
      <c r="O147" s="2"/>
      <c r="P147" s="2"/>
      <c r="Q147" s="2"/>
      <c r="R147" s="2"/>
      <c r="S147" s="2"/>
      <c r="T147" s="2"/>
      <c r="U147" s="2"/>
      <c r="V147" s="2"/>
      <c r="W147" s="2"/>
      <c r="X147" s="2"/>
    </row>
    <row r="148">
      <c r="A148" s="2"/>
      <c r="B148" s="2"/>
      <c r="C148" s="15"/>
      <c r="D148" s="15"/>
      <c r="E148" s="15"/>
      <c r="F148" s="2"/>
      <c r="G148" s="2"/>
      <c r="H148" s="2"/>
      <c r="I148" s="2"/>
      <c r="J148" s="2"/>
      <c r="K148" s="2"/>
      <c r="L148" s="2"/>
      <c r="M148" s="2"/>
      <c r="N148" s="2"/>
      <c r="O148" s="2"/>
      <c r="P148" s="2"/>
      <c r="Q148" s="2"/>
      <c r="R148" s="2"/>
      <c r="S148" s="2"/>
      <c r="T148" s="2"/>
      <c r="U148" s="2"/>
      <c r="V148" s="2"/>
      <c r="W148" s="2"/>
      <c r="X148" s="2"/>
    </row>
    <row r="149">
      <c r="A149" s="2"/>
      <c r="B149" s="2"/>
      <c r="C149" s="15"/>
      <c r="D149" s="15"/>
      <c r="E149" s="15"/>
      <c r="F149" s="2"/>
      <c r="G149" s="2"/>
      <c r="H149" s="2"/>
      <c r="I149" s="2"/>
      <c r="J149" s="2"/>
      <c r="K149" s="2"/>
      <c r="L149" s="2"/>
      <c r="M149" s="2"/>
      <c r="N149" s="2"/>
      <c r="O149" s="2"/>
      <c r="P149" s="2"/>
      <c r="Q149" s="2"/>
      <c r="R149" s="2"/>
      <c r="S149" s="2"/>
      <c r="T149" s="2"/>
      <c r="U149" s="2"/>
      <c r="V149" s="2"/>
      <c r="W149" s="2"/>
      <c r="X149" s="2"/>
    </row>
    <row r="150">
      <c r="A150" s="2"/>
      <c r="B150" s="2"/>
      <c r="C150" s="15"/>
      <c r="D150" s="15"/>
      <c r="E150" s="15"/>
      <c r="F150" s="2"/>
      <c r="G150" s="2"/>
      <c r="H150" s="2"/>
      <c r="I150" s="2"/>
      <c r="J150" s="2"/>
      <c r="K150" s="2"/>
      <c r="L150" s="2"/>
      <c r="M150" s="2"/>
      <c r="N150" s="2"/>
      <c r="O150" s="2"/>
      <c r="P150" s="2"/>
      <c r="Q150" s="2"/>
      <c r="R150" s="2"/>
      <c r="S150" s="2"/>
      <c r="T150" s="2"/>
      <c r="U150" s="2"/>
      <c r="V150" s="2"/>
      <c r="W150" s="2"/>
      <c r="X150" s="2"/>
    </row>
    <row r="151">
      <c r="A151" s="2"/>
      <c r="B151" s="2"/>
      <c r="C151" s="15"/>
      <c r="D151" s="15"/>
      <c r="E151" s="15"/>
      <c r="F151" s="2"/>
      <c r="G151" s="2"/>
      <c r="H151" s="2"/>
      <c r="I151" s="2"/>
      <c r="J151" s="2"/>
      <c r="K151" s="2"/>
      <c r="L151" s="2"/>
      <c r="M151" s="2"/>
      <c r="N151" s="2"/>
      <c r="O151" s="2"/>
      <c r="P151" s="2"/>
      <c r="Q151" s="2"/>
      <c r="R151" s="2"/>
      <c r="S151" s="2"/>
      <c r="T151" s="2"/>
      <c r="U151" s="2"/>
      <c r="V151" s="2"/>
      <c r="W151" s="2"/>
      <c r="X151" s="2"/>
    </row>
    <row r="152">
      <c r="A152" s="2"/>
      <c r="B152" s="2"/>
      <c r="C152" s="15"/>
      <c r="D152" s="15"/>
      <c r="E152" s="15"/>
      <c r="F152" s="2"/>
      <c r="G152" s="2"/>
      <c r="H152" s="2"/>
      <c r="I152" s="2"/>
      <c r="J152" s="2"/>
      <c r="K152" s="2"/>
      <c r="L152" s="2"/>
      <c r="M152" s="2"/>
      <c r="N152" s="2"/>
      <c r="O152" s="2"/>
      <c r="P152" s="2"/>
      <c r="Q152" s="2"/>
      <c r="R152" s="2"/>
      <c r="S152" s="2"/>
      <c r="T152" s="2"/>
      <c r="U152" s="2"/>
      <c r="V152" s="2"/>
      <c r="W152" s="2"/>
      <c r="X152" s="2"/>
    </row>
    <row r="153">
      <c r="A153" s="2"/>
      <c r="B153" s="2"/>
      <c r="C153" s="15"/>
      <c r="D153" s="15"/>
      <c r="E153" s="15"/>
      <c r="F153" s="2"/>
      <c r="G153" s="2"/>
      <c r="H153" s="2"/>
      <c r="I153" s="2"/>
      <c r="J153" s="2"/>
      <c r="K153" s="2"/>
      <c r="L153" s="2"/>
      <c r="M153" s="2"/>
      <c r="N153" s="2"/>
      <c r="O153" s="2"/>
      <c r="P153" s="2"/>
      <c r="Q153" s="2"/>
      <c r="R153" s="2"/>
      <c r="S153" s="2"/>
      <c r="T153" s="2"/>
      <c r="U153" s="2"/>
      <c r="V153" s="2"/>
      <c r="W153" s="2"/>
      <c r="X153" s="2"/>
    </row>
    <row r="154">
      <c r="A154" s="2"/>
      <c r="B154" s="2"/>
      <c r="C154" s="15"/>
      <c r="D154" s="15"/>
      <c r="E154" s="15"/>
      <c r="F154" s="2"/>
      <c r="G154" s="2"/>
      <c r="H154" s="2"/>
      <c r="I154" s="2"/>
      <c r="J154" s="2"/>
      <c r="K154" s="2"/>
      <c r="L154" s="2"/>
      <c r="M154" s="2"/>
      <c r="N154" s="2"/>
      <c r="O154" s="2"/>
      <c r="P154" s="2"/>
      <c r="Q154" s="2"/>
      <c r="R154" s="2"/>
      <c r="S154" s="2"/>
      <c r="T154" s="2"/>
      <c r="U154" s="2"/>
      <c r="V154" s="2"/>
      <c r="W154" s="2"/>
      <c r="X154" s="2"/>
    </row>
    <row r="155">
      <c r="A155" s="2"/>
      <c r="B155" s="2"/>
      <c r="C155" s="15"/>
      <c r="D155" s="15"/>
      <c r="E155" s="15"/>
      <c r="F155" s="2"/>
      <c r="G155" s="2"/>
      <c r="H155" s="2"/>
      <c r="I155" s="2"/>
      <c r="J155" s="2"/>
      <c r="K155" s="2"/>
      <c r="L155" s="2"/>
      <c r="M155" s="2"/>
      <c r="N155" s="2"/>
      <c r="O155" s="2"/>
      <c r="P155" s="2"/>
      <c r="Q155" s="2"/>
      <c r="R155" s="2"/>
      <c r="S155" s="2"/>
      <c r="T155" s="2"/>
      <c r="U155" s="2"/>
      <c r="V155" s="2"/>
      <c r="W155" s="2"/>
      <c r="X155" s="2"/>
    </row>
    <row r="156">
      <c r="A156" s="2"/>
      <c r="B156" s="2"/>
      <c r="C156" s="15"/>
      <c r="D156" s="15"/>
      <c r="E156" s="15"/>
      <c r="F156" s="2"/>
      <c r="G156" s="2"/>
      <c r="H156" s="2"/>
      <c r="I156" s="2"/>
      <c r="J156" s="2"/>
      <c r="K156" s="2"/>
      <c r="L156" s="2"/>
      <c r="M156" s="2"/>
      <c r="N156" s="2"/>
      <c r="O156" s="2"/>
      <c r="P156" s="2"/>
      <c r="Q156" s="2"/>
      <c r="R156" s="2"/>
      <c r="S156" s="2"/>
      <c r="T156" s="2"/>
      <c r="U156" s="2"/>
      <c r="V156" s="2"/>
      <c r="W156" s="2"/>
      <c r="X156" s="2"/>
    </row>
    <row r="157">
      <c r="A157" s="2"/>
      <c r="B157" s="2"/>
      <c r="C157" s="15"/>
      <c r="D157" s="15"/>
      <c r="E157" s="15"/>
      <c r="F157" s="2"/>
      <c r="G157" s="2"/>
      <c r="H157" s="2"/>
      <c r="I157" s="2"/>
      <c r="J157" s="2"/>
      <c r="K157" s="2"/>
      <c r="L157" s="2"/>
      <c r="M157" s="2"/>
      <c r="N157" s="2"/>
      <c r="O157" s="2"/>
      <c r="P157" s="2"/>
      <c r="Q157" s="2"/>
      <c r="R157" s="2"/>
      <c r="S157" s="2"/>
      <c r="T157" s="2"/>
      <c r="U157" s="2"/>
      <c r="V157" s="2"/>
      <c r="W157" s="2"/>
      <c r="X157" s="2"/>
    </row>
    <row r="158">
      <c r="A158" s="2"/>
      <c r="B158" s="2"/>
      <c r="C158" s="15"/>
      <c r="D158" s="15"/>
      <c r="E158" s="15"/>
      <c r="F158" s="2"/>
      <c r="G158" s="2"/>
      <c r="H158" s="2"/>
      <c r="I158" s="2"/>
      <c r="J158" s="2"/>
      <c r="K158" s="2"/>
      <c r="L158" s="2"/>
      <c r="M158" s="2"/>
      <c r="N158" s="2"/>
      <c r="O158" s="2"/>
      <c r="P158" s="2"/>
      <c r="Q158" s="2"/>
      <c r="R158" s="2"/>
      <c r="S158" s="2"/>
      <c r="T158" s="2"/>
      <c r="U158" s="2"/>
      <c r="V158" s="2"/>
      <c r="W158" s="2"/>
      <c r="X158" s="2"/>
    </row>
    <row r="159">
      <c r="A159" s="2"/>
      <c r="B159" s="2"/>
      <c r="C159" s="15"/>
      <c r="D159" s="15"/>
      <c r="E159" s="15"/>
      <c r="F159" s="2"/>
      <c r="G159" s="2"/>
      <c r="H159" s="2"/>
      <c r="I159" s="2"/>
      <c r="J159" s="2"/>
      <c r="K159" s="2"/>
      <c r="L159" s="2"/>
      <c r="M159" s="2"/>
      <c r="N159" s="2"/>
      <c r="O159" s="2"/>
      <c r="P159" s="2"/>
      <c r="Q159" s="2"/>
      <c r="R159" s="2"/>
      <c r="S159" s="2"/>
      <c r="T159" s="2"/>
      <c r="U159" s="2"/>
      <c r="V159" s="2"/>
      <c r="W159" s="2"/>
      <c r="X159" s="2"/>
    </row>
    <row r="160">
      <c r="A160" s="2"/>
      <c r="B160" s="2"/>
      <c r="C160" s="15"/>
      <c r="D160" s="15"/>
      <c r="E160" s="15"/>
      <c r="F160" s="2"/>
      <c r="G160" s="2"/>
      <c r="H160" s="2"/>
      <c r="I160" s="2"/>
      <c r="J160" s="2"/>
      <c r="K160" s="2"/>
      <c r="L160" s="2"/>
      <c r="M160" s="2"/>
      <c r="N160" s="2"/>
      <c r="O160" s="2"/>
      <c r="P160" s="2"/>
      <c r="Q160" s="2"/>
      <c r="R160" s="2"/>
      <c r="S160" s="2"/>
      <c r="T160" s="2"/>
      <c r="U160" s="2"/>
      <c r="V160" s="2"/>
      <c r="W160" s="2"/>
      <c r="X160" s="2"/>
    </row>
    <row r="161">
      <c r="A161" s="2"/>
      <c r="B161" s="2"/>
      <c r="C161" s="15"/>
      <c r="D161" s="15"/>
      <c r="E161" s="15"/>
      <c r="F161" s="2"/>
      <c r="G161" s="2"/>
      <c r="H161" s="2"/>
      <c r="I161" s="2"/>
      <c r="J161" s="2"/>
      <c r="K161" s="2"/>
      <c r="L161" s="2"/>
      <c r="M161" s="2"/>
      <c r="N161" s="2"/>
      <c r="O161" s="2"/>
      <c r="P161" s="2"/>
      <c r="Q161" s="2"/>
      <c r="R161" s="2"/>
      <c r="S161" s="2"/>
      <c r="T161" s="2"/>
      <c r="U161" s="2"/>
      <c r="V161" s="2"/>
      <c r="W161" s="2"/>
      <c r="X161" s="2"/>
    </row>
    <row r="162">
      <c r="A162" s="2"/>
      <c r="B162" s="2"/>
      <c r="C162" s="15"/>
      <c r="D162" s="15"/>
      <c r="E162" s="15"/>
      <c r="F162" s="2"/>
      <c r="G162" s="2"/>
      <c r="H162" s="2"/>
      <c r="I162" s="2"/>
      <c r="J162" s="2"/>
      <c r="K162" s="2"/>
      <c r="L162" s="2"/>
      <c r="M162" s="2"/>
      <c r="N162" s="2"/>
      <c r="O162" s="2"/>
      <c r="P162" s="2"/>
      <c r="Q162" s="2"/>
      <c r="R162" s="2"/>
      <c r="S162" s="2"/>
      <c r="T162" s="2"/>
      <c r="U162" s="2"/>
      <c r="V162" s="2"/>
      <c r="W162" s="2"/>
      <c r="X162" s="2"/>
    </row>
    <row r="163">
      <c r="A163" s="2"/>
      <c r="B163" s="2"/>
      <c r="C163" s="15"/>
      <c r="D163" s="15"/>
      <c r="E163" s="15"/>
      <c r="F163" s="2"/>
      <c r="G163" s="2"/>
      <c r="H163" s="2"/>
      <c r="I163" s="2"/>
      <c r="J163" s="2"/>
      <c r="K163" s="2"/>
      <c r="L163" s="2"/>
      <c r="M163" s="2"/>
      <c r="N163" s="2"/>
      <c r="O163" s="2"/>
      <c r="P163" s="2"/>
      <c r="Q163" s="2"/>
      <c r="R163" s="2"/>
      <c r="S163" s="2"/>
      <c r="T163" s="2"/>
      <c r="U163" s="2"/>
      <c r="V163" s="2"/>
      <c r="W163" s="2"/>
      <c r="X163" s="2"/>
    </row>
    <row r="164">
      <c r="A164" s="2"/>
      <c r="B164" s="2"/>
      <c r="C164" s="15"/>
      <c r="D164" s="15"/>
      <c r="E164" s="15"/>
      <c r="F164" s="2"/>
      <c r="G164" s="2"/>
      <c r="H164" s="2"/>
      <c r="I164" s="2"/>
      <c r="J164" s="2"/>
      <c r="K164" s="2"/>
      <c r="L164" s="2"/>
      <c r="M164" s="2"/>
      <c r="N164" s="2"/>
      <c r="O164" s="2"/>
      <c r="P164" s="2"/>
      <c r="Q164" s="2"/>
      <c r="R164" s="2"/>
      <c r="S164" s="2"/>
      <c r="T164" s="2"/>
      <c r="U164" s="2"/>
      <c r="V164" s="2"/>
      <c r="W164" s="2"/>
      <c r="X164" s="2"/>
    </row>
    <row r="165">
      <c r="A165" s="2"/>
      <c r="B165" s="2"/>
      <c r="C165" s="15"/>
      <c r="D165" s="15"/>
      <c r="E165" s="15"/>
      <c r="F165" s="2"/>
      <c r="G165" s="2"/>
      <c r="H165" s="2"/>
      <c r="I165" s="2"/>
      <c r="J165" s="2"/>
      <c r="K165" s="2"/>
      <c r="L165" s="2"/>
      <c r="M165" s="2"/>
      <c r="N165" s="2"/>
      <c r="O165" s="2"/>
      <c r="P165" s="2"/>
      <c r="Q165" s="2"/>
      <c r="R165" s="2"/>
      <c r="S165" s="2"/>
      <c r="T165" s="2"/>
      <c r="U165" s="2"/>
      <c r="V165" s="2"/>
      <c r="W165" s="2"/>
      <c r="X165" s="2"/>
    </row>
    <row r="166">
      <c r="A166" s="2"/>
      <c r="B166" s="2"/>
      <c r="C166" s="15"/>
      <c r="D166" s="15"/>
      <c r="E166" s="15"/>
      <c r="F166" s="2"/>
      <c r="G166" s="2"/>
      <c r="H166" s="2"/>
      <c r="I166" s="2"/>
      <c r="J166" s="2"/>
      <c r="K166" s="2"/>
      <c r="L166" s="2"/>
      <c r="M166" s="2"/>
      <c r="N166" s="2"/>
      <c r="O166" s="2"/>
      <c r="P166" s="2"/>
      <c r="Q166" s="2"/>
      <c r="R166" s="2"/>
      <c r="S166" s="2"/>
      <c r="T166" s="2"/>
      <c r="U166" s="2"/>
      <c r="V166" s="2"/>
      <c r="W166" s="2"/>
      <c r="X166" s="2"/>
    </row>
    <row r="167">
      <c r="A167" s="2"/>
      <c r="B167" s="2"/>
      <c r="C167" s="15"/>
      <c r="D167" s="15"/>
      <c r="E167" s="15"/>
      <c r="F167" s="2"/>
      <c r="G167" s="2"/>
      <c r="H167" s="2"/>
      <c r="I167" s="2"/>
      <c r="J167" s="2"/>
      <c r="K167" s="2"/>
      <c r="L167" s="2"/>
      <c r="M167" s="2"/>
      <c r="N167" s="2"/>
      <c r="O167" s="2"/>
      <c r="P167" s="2"/>
      <c r="Q167" s="2"/>
      <c r="R167" s="2"/>
      <c r="S167" s="2"/>
      <c r="T167" s="2"/>
      <c r="U167" s="2"/>
      <c r="V167" s="2"/>
      <c r="W167" s="2"/>
      <c r="X167" s="2"/>
    </row>
    <row r="168">
      <c r="A168" s="2"/>
      <c r="B168" s="2"/>
      <c r="C168" s="15"/>
      <c r="D168" s="15"/>
      <c r="E168" s="15"/>
      <c r="F168" s="2"/>
      <c r="G168" s="2"/>
      <c r="H168" s="2"/>
      <c r="I168" s="2"/>
      <c r="J168" s="2"/>
      <c r="K168" s="2"/>
      <c r="L168" s="2"/>
      <c r="M168" s="2"/>
      <c r="N168" s="2"/>
      <c r="O168" s="2"/>
      <c r="P168" s="2"/>
      <c r="Q168" s="2"/>
      <c r="R168" s="2"/>
      <c r="S168" s="2"/>
      <c r="T168" s="2"/>
      <c r="U168" s="2"/>
      <c r="V168" s="2"/>
      <c r="W168" s="2"/>
      <c r="X168" s="2"/>
    </row>
    <row r="169">
      <c r="A169" s="2"/>
      <c r="B169" s="2"/>
      <c r="C169" s="15"/>
      <c r="D169" s="15"/>
      <c r="E169" s="15"/>
      <c r="F169" s="2"/>
      <c r="G169" s="2"/>
      <c r="H169" s="2"/>
      <c r="I169" s="2"/>
      <c r="J169" s="2"/>
      <c r="K169" s="2"/>
      <c r="L169" s="2"/>
      <c r="M169" s="2"/>
      <c r="N169" s="2"/>
      <c r="O169" s="2"/>
      <c r="P169" s="2"/>
      <c r="Q169" s="2"/>
      <c r="R169" s="2"/>
      <c r="S169" s="2"/>
      <c r="T169" s="2"/>
      <c r="U169" s="2"/>
      <c r="V169" s="2"/>
      <c r="W169" s="2"/>
      <c r="X169" s="2"/>
    </row>
    <row r="170">
      <c r="A170" s="2"/>
      <c r="B170" s="2"/>
      <c r="C170" s="15"/>
      <c r="D170" s="15"/>
      <c r="E170" s="15"/>
      <c r="F170" s="2"/>
      <c r="G170" s="2"/>
      <c r="H170" s="2"/>
      <c r="I170" s="2"/>
      <c r="J170" s="2"/>
      <c r="K170" s="2"/>
      <c r="L170" s="2"/>
      <c r="M170" s="2"/>
      <c r="N170" s="2"/>
      <c r="O170" s="2"/>
      <c r="P170" s="2"/>
      <c r="Q170" s="2"/>
      <c r="R170" s="2"/>
      <c r="S170" s="2"/>
      <c r="T170" s="2"/>
      <c r="U170" s="2"/>
      <c r="V170" s="2"/>
      <c r="W170" s="2"/>
      <c r="X170" s="2"/>
    </row>
    <row r="171">
      <c r="A171" s="2"/>
      <c r="B171" s="2"/>
      <c r="C171" s="15"/>
      <c r="D171" s="15"/>
      <c r="E171" s="15"/>
      <c r="F171" s="2"/>
      <c r="G171" s="2"/>
      <c r="H171" s="2"/>
      <c r="I171" s="2"/>
      <c r="J171" s="2"/>
      <c r="K171" s="2"/>
      <c r="L171" s="2"/>
      <c r="M171" s="2"/>
      <c r="N171" s="2"/>
      <c r="O171" s="2"/>
      <c r="P171" s="2"/>
      <c r="Q171" s="2"/>
      <c r="R171" s="2"/>
      <c r="S171" s="2"/>
      <c r="T171" s="2"/>
      <c r="U171" s="2"/>
      <c r="V171" s="2"/>
      <c r="W171" s="2"/>
      <c r="X171" s="2"/>
    </row>
    <row r="172">
      <c r="A172" s="2"/>
      <c r="B172" s="2"/>
      <c r="C172" s="15"/>
      <c r="D172" s="15"/>
      <c r="E172" s="15"/>
      <c r="F172" s="2"/>
      <c r="G172" s="2"/>
      <c r="H172" s="2"/>
      <c r="I172" s="2"/>
      <c r="J172" s="2"/>
      <c r="K172" s="2"/>
      <c r="L172" s="2"/>
      <c r="M172" s="2"/>
      <c r="N172" s="2"/>
      <c r="O172" s="2"/>
      <c r="P172" s="2"/>
      <c r="Q172" s="2"/>
      <c r="R172" s="2"/>
      <c r="S172" s="2"/>
      <c r="T172" s="2"/>
      <c r="U172" s="2"/>
      <c r="V172" s="2"/>
      <c r="W172" s="2"/>
      <c r="X172" s="2"/>
    </row>
    <row r="173">
      <c r="A173" s="2"/>
      <c r="B173" s="2"/>
      <c r="C173" s="15"/>
      <c r="D173" s="15"/>
      <c r="E173" s="15"/>
      <c r="F173" s="2"/>
      <c r="G173" s="2"/>
      <c r="H173" s="2"/>
      <c r="I173" s="2"/>
      <c r="J173" s="2"/>
      <c r="K173" s="2"/>
      <c r="L173" s="2"/>
      <c r="M173" s="2"/>
      <c r="N173" s="2"/>
      <c r="O173" s="2"/>
      <c r="P173" s="2"/>
      <c r="Q173" s="2"/>
      <c r="R173" s="2"/>
      <c r="S173" s="2"/>
      <c r="T173" s="2"/>
      <c r="U173" s="2"/>
      <c r="V173" s="2"/>
      <c r="W173" s="2"/>
      <c r="X173" s="2"/>
    </row>
    <row r="174">
      <c r="A174" s="2"/>
      <c r="B174" s="2"/>
      <c r="C174" s="15"/>
      <c r="D174" s="15"/>
      <c r="E174" s="15"/>
      <c r="F174" s="2"/>
      <c r="G174" s="2"/>
      <c r="H174" s="2"/>
      <c r="I174" s="2"/>
      <c r="J174" s="2"/>
      <c r="K174" s="2"/>
      <c r="L174" s="2"/>
      <c r="M174" s="2"/>
      <c r="N174" s="2"/>
      <c r="O174" s="2"/>
      <c r="P174" s="2"/>
      <c r="Q174" s="2"/>
      <c r="R174" s="2"/>
      <c r="S174" s="2"/>
      <c r="T174" s="2"/>
      <c r="U174" s="2"/>
      <c r="V174" s="2"/>
      <c r="W174" s="2"/>
      <c r="X174" s="2"/>
    </row>
    <row r="175">
      <c r="A175" s="2"/>
      <c r="B175" s="2"/>
      <c r="C175" s="15"/>
      <c r="D175" s="15"/>
      <c r="E175" s="15"/>
      <c r="F175" s="2"/>
      <c r="G175" s="2"/>
      <c r="H175" s="2"/>
      <c r="I175" s="2"/>
      <c r="J175" s="2"/>
      <c r="K175" s="2"/>
      <c r="L175" s="2"/>
      <c r="M175" s="2"/>
      <c r="N175" s="2"/>
      <c r="O175" s="2"/>
      <c r="P175" s="2"/>
      <c r="Q175" s="2"/>
      <c r="R175" s="2"/>
      <c r="S175" s="2"/>
      <c r="T175" s="2"/>
      <c r="U175" s="2"/>
      <c r="V175" s="2"/>
      <c r="W175" s="2"/>
      <c r="X175" s="2"/>
    </row>
    <row r="176">
      <c r="A176" s="2"/>
      <c r="B176" s="2"/>
      <c r="C176" s="15"/>
      <c r="D176" s="15"/>
      <c r="E176" s="15"/>
      <c r="F176" s="2"/>
      <c r="G176" s="2"/>
      <c r="H176" s="2"/>
      <c r="I176" s="2"/>
      <c r="J176" s="2"/>
      <c r="K176" s="2"/>
      <c r="L176" s="2"/>
      <c r="M176" s="2"/>
      <c r="N176" s="2"/>
      <c r="O176" s="2"/>
      <c r="P176" s="2"/>
      <c r="Q176" s="2"/>
      <c r="R176" s="2"/>
      <c r="S176" s="2"/>
      <c r="T176" s="2"/>
      <c r="U176" s="2"/>
      <c r="V176" s="2"/>
      <c r="W176" s="2"/>
      <c r="X176" s="2"/>
    </row>
    <row r="177">
      <c r="A177" s="2"/>
      <c r="B177" s="2"/>
      <c r="C177" s="15"/>
      <c r="D177" s="15"/>
      <c r="E177" s="15"/>
      <c r="F177" s="2"/>
      <c r="G177" s="2"/>
      <c r="H177" s="2"/>
      <c r="I177" s="2"/>
      <c r="J177" s="2"/>
      <c r="K177" s="2"/>
      <c r="L177" s="2"/>
      <c r="M177" s="2"/>
      <c r="N177" s="2"/>
      <c r="O177" s="2"/>
      <c r="P177" s="2"/>
      <c r="Q177" s="2"/>
      <c r="R177" s="2"/>
      <c r="S177" s="2"/>
      <c r="T177" s="2"/>
      <c r="U177" s="2"/>
      <c r="V177" s="2"/>
      <c r="W177" s="2"/>
      <c r="X177" s="2"/>
    </row>
    <row r="178">
      <c r="A178" s="2"/>
      <c r="B178" s="2"/>
      <c r="C178" s="15"/>
      <c r="D178" s="15"/>
      <c r="E178" s="15"/>
      <c r="F178" s="2"/>
      <c r="G178" s="2"/>
      <c r="H178" s="2"/>
      <c r="I178" s="2"/>
      <c r="J178" s="2"/>
      <c r="K178" s="2"/>
      <c r="L178" s="2"/>
      <c r="M178" s="2"/>
      <c r="N178" s="2"/>
      <c r="O178" s="2"/>
      <c r="P178" s="2"/>
      <c r="Q178" s="2"/>
      <c r="R178" s="2"/>
      <c r="S178" s="2"/>
      <c r="T178" s="2"/>
      <c r="U178" s="2"/>
      <c r="V178" s="2"/>
      <c r="W178" s="2"/>
      <c r="X178" s="2"/>
    </row>
    <row r="179">
      <c r="A179" s="2"/>
      <c r="B179" s="2"/>
      <c r="C179" s="15"/>
      <c r="D179" s="15"/>
      <c r="E179" s="15"/>
      <c r="F179" s="2"/>
      <c r="G179" s="2"/>
      <c r="H179" s="2"/>
      <c r="I179" s="2"/>
      <c r="J179" s="2"/>
      <c r="K179" s="2"/>
      <c r="L179" s="2"/>
      <c r="M179" s="2"/>
      <c r="N179" s="2"/>
      <c r="O179" s="2"/>
      <c r="P179" s="2"/>
      <c r="Q179" s="2"/>
      <c r="R179" s="2"/>
      <c r="S179" s="2"/>
      <c r="T179" s="2"/>
      <c r="U179" s="2"/>
      <c r="V179" s="2"/>
      <c r="W179" s="2"/>
      <c r="X179" s="2"/>
    </row>
    <row r="180">
      <c r="A180" s="2"/>
      <c r="B180" s="2"/>
      <c r="C180" s="15"/>
      <c r="D180" s="15"/>
      <c r="E180" s="15"/>
      <c r="F180" s="2"/>
      <c r="G180" s="2"/>
      <c r="H180" s="2"/>
      <c r="I180" s="2"/>
      <c r="J180" s="2"/>
      <c r="K180" s="2"/>
      <c r="L180" s="2"/>
      <c r="M180" s="2"/>
      <c r="N180" s="2"/>
      <c r="O180" s="2"/>
      <c r="P180" s="2"/>
      <c r="Q180" s="2"/>
      <c r="R180" s="2"/>
      <c r="S180" s="2"/>
      <c r="T180" s="2"/>
      <c r="U180" s="2"/>
      <c r="V180" s="2"/>
      <c r="W180" s="2"/>
      <c r="X180" s="2"/>
    </row>
    <row r="181">
      <c r="A181" s="2"/>
      <c r="B181" s="2"/>
      <c r="C181" s="15"/>
      <c r="D181" s="15"/>
      <c r="E181" s="15"/>
      <c r="F181" s="2"/>
      <c r="G181" s="2"/>
      <c r="H181" s="2"/>
      <c r="I181" s="2"/>
      <c r="J181" s="2"/>
      <c r="K181" s="2"/>
      <c r="L181" s="2"/>
      <c r="M181" s="2"/>
      <c r="N181" s="2"/>
      <c r="O181" s="2"/>
      <c r="P181" s="2"/>
      <c r="Q181" s="2"/>
      <c r="R181" s="2"/>
      <c r="S181" s="2"/>
      <c r="T181" s="2"/>
      <c r="U181" s="2"/>
      <c r="V181" s="2"/>
      <c r="W181" s="2"/>
      <c r="X181" s="2"/>
    </row>
    <row r="182">
      <c r="A182" s="2"/>
      <c r="B182" s="2"/>
      <c r="C182" s="15"/>
      <c r="D182" s="15"/>
      <c r="E182" s="15"/>
      <c r="F182" s="2"/>
      <c r="G182" s="2"/>
      <c r="H182" s="2"/>
      <c r="I182" s="2"/>
      <c r="J182" s="2"/>
      <c r="K182" s="2"/>
      <c r="L182" s="2"/>
      <c r="M182" s="2"/>
      <c r="N182" s="2"/>
      <c r="O182" s="2"/>
      <c r="P182" s="2"/>
      <c r="Q182" s="2"/>
      <c r="R182" s="2"/>
      <c r="S182" s="2"/>
      <c r="T182" s="2"/>
      <c r="U182" s="2"/>
      <c r="V182" s="2"/>
      <c r="W182" s="2"/>
      <c r="X182" s="2"/>
    </row>
    <row r="183">
      <c r="A183" s="2"/>
      <c r="B183" s="2"/>
      <c r="C183" s="15"/>
      <c r="D183" s="15"/>
      <c r="E183" s="15"/>
      <c r="F183" s="2"/>
      <c r="G183" s="2"/>
      <c r="H183" s="2"/>
      <c r="I183" s="2"/>
      <c r="J183" s="2"/>
      <c r="K183" s="2"/>
      <c r="L183" s="2"/>
      <c r="M183" s="2"/>
      <c r="N183" s="2"/>
      <c r="O183" s="2"/>
      <c r="P183" s="2"/>
      <c r="Q183" s="2"/>
      <c r="R183" s="2"/>
      <c r="S183" s="2"/>
      <c r="T183" s="2"/>
      <c r="U183" s="2"/>
      <c r="V183" s="2"/>
      <c r="W183" s="2"/>
      <c r="X183" s="2"/>
    </row>
    <row r="184">
      <c r="A184" s="2"/>
      <c r="B184" s="2"/>
      <c r="C184" s="15"/>
      <c r="D184" s="15"/>
      <c r="E184" s="15"/>
      <c r="F184" s="2"/>
      <c r="G184" s="2"/>
      <c r="H184" s="2"/>
      <c r="I184" s="2"/>
      <c r="J184" s="2"/>
      <c r="K184" s="2"/>
      <c r="L184" s="2"/>
      <c r="M184" s="2"/>
      <c r="N184" s="2"/>
      <c r="O184" s="2"/>
      <c r="P184" s="2"/>
      <c r="Q184" s="2"/>
      <c r="R184" s="2"/>
      <c r="S184" s="2"/>
      <c r="T184" s="2"/>
      <c r="U184" s="2"/>
      <c r="V184" s="2"/>
      <c r="W184" s="2"/>
      <c r="X184" s="2"/>
    </row>
    <row r="185">
      <c r="A185" s="2"/>
      <c r="B185" s="2"/>
      <c r="C185" s="15"/>
      <c r="D185" s="15"/>
      <c r="E185" s="15"/>
      <c r="F185" s="2"/>
      <c r="G185" s="2"/>
      <c r="H185" s="2"/>
      <c r="I185" s="2"/>
      <c r="J185" s="2"/>
      <c r="K185" s="2"/>
      <c r="L185" s="2"/>
      <c r="M185" s="2"/>
      <c r="N185" s="2"/>
      <c r="O185" s="2"/>
      <c r="P185" s="2"/>
      <c r="Q185" s="2"/>
      <c r="R185" s="2"/>
      <c r="S185" s="2"/>
      <c r="T185" s="2"/>
      <c r="U185" s="2"/>
      <c r="V185" s="2"/>
      <c r="W185" s="2"/>
      <c r="X185" s="2"/>
    </row>
    <row r="186">
      <c r="A186" s="2"/>
      <c r="B186" s="2"/>
      <c r="C186" s="15"/>
      <c r="D186" s="15"/>
      <c r="E186" s="15"/>
      <c r="F186" s="2"/>
      <c r="G186" s="2"/>
      <c r="H186" s="2"/>
      <c r="I186" s="2"/>
      <c r="J186" s="2"/>
      <c r="K186" s="2"/>
      <c r="L186" s="2"/>
      <c r="M186" s="2"/>
      <c r="N186" s="2"/>
      <c r="O186" s="2"/>
      <c r="P186" s="2"/>
      <c r="Q186" s="2"/>
      <c r="R186" s="2"/>
      <c r="S186" s="2"/>
      <c r="T186" s="2"/>
      <c r="U186" s="2"/>
      <c r="V186" s="2"/>
      <c r="W186" s="2"/>
      <c r="X186" s="2"/>
    </row>
    <row r="187">
      <c r="A187" s="2"/>
      <c r="B187" s="2"/>
      <c r="C187" s="15"/>
      <c r="D187" s="15"/>
      <c r="E187" s="15"/>
      <c r="F187" s="2"/>
      <c r="G187" s="2"/>
      <c r="H187" s="2"/>
      <c r="I187" s="2"/>
      <c r="J187" s="2"/>
      <c r="K187" s="2"/>
      <c r="L187" s="2"/>
      <c r="M187" s="2"/>
      <c r="N187" s="2"/>
      <c r="O187" s="2"/>
      <c r="P187" s="2"/>
      <c r="Q187" s="2"/>
      <c r="R187" s="2"/>
      <c r="S187" s="2"/>
      <c r="T187" s="2"/>
      <c r="U187" s="2"/>
      <c r="V187" s="2"/>
      <c r="W187" s="2"/>
      <c r="X187" s="2"/>
    </row>
    <row r="188">
      <c r="A188" s="2"/>
      <c r="B188" s="2"/>
      <c r="C188" s="15"/>
      <c r="D188" s="15"/>
      <c r="E188" s="15"/>
      <c r="F188" s="2"/>
      <c r="G188" s="2"/>
      <c r="H188" s="2"/>
      <c r="I188" s="2"/>
      <c r="J188" s="2"/>
      <c r="K188" s="2"/>
      <c r="L188" s="2"/>
      <c r="M188" s="2"/>
      <c r="N188" s="2"/>
      <c r="O188" s="2"/>
      <c r="P188" s="2"/>
      <c r="Q188" s="2"/>
      <c r="R188" s="2"/>
      <c r="S188" s="2"/>
      <c r="T188" s="2"/>
      <c r="U188" s="2"/>
      <c r="V188" s="2"/>
      <c r="W188" s="2"/>
      <c r="X188" s="2"/>
    </row>
    <row r="189">
      <c r="A189" s="2"/>
      <c r="B189" s="2"/>
      <c r="C189" s="15"/>
      <c r="D189" s="15"/>
      <c r="E189" s="15"/>
      <c r="F189" s="2"/>
      <c r="G189" s="2"/>
      <c r="H189" s="2"/>
      <c r="I189" s="2"/>
      <c r="J189" s="2"/>
      <c r="K189" s="2"/>
      <c r="L189" s="2"/>
      <c r="M189" s="2"/>
      <c r="N189" s="2"/>
      <c r="O189" s="2"/>
      <c r="P189" s="2"/>
      <c r="Q189" s="2"/>
      <c r="R189" s="2"/>
      <c r="S189" s="2"/>
      <c r="T189" s="2"/>
      <c r="U189" s="2"/>
      <c r="V189" s="2"/>
      <c r="W189" s="2"/>
      <c r="X189" s="2"/>
    </row>
    <row r="190">
      <c r="A190" s="2"/>
      <c r="B190" s="2"/>
      <c r="C190" s="15"/>
      <c r="D190" s="15"/>
      <c r="E190" s="15"/>
      <c r="F190" s="2"/>
      <c r="G190" s="2"/>
      <c r="H190" s="2"/>
      <c r="I190" s="2"/>
      <c r="J190" s="2"/>
      <c r="K190" s="2"/>
      <c r="L190" s="2"/>
      <c r="M190" s="2"/>
      <c r="N190" s="2"/>
      <c r="O190" s="2"/>
      <c r="P190" s="2"/>
      <c r="Q190" s="2"/>
      <c r="R190" s="2"/>
      <c r="S190" s="2"/>
      <c r="T190" s="2"/>
      <c r="U190" s="2"/>
      <c r="V190" s="2"/>
      <c r="W190" s="2"/>
      <c r="X190" s="2"/>
    </row>
    <row r="191">
      <c r="A191" s="2"/>
      <c r="B191" s="2"/>
      <c r="C191" s="15"/>
      <c r="D191" s="15"/>
      <c r="E191" s="15"/>
      <c r="F191" s="2"/>
      <c r="G191" s="2"/>
      <c r="H191" s="2"/>
      <c r="I191" s="2"/>
      <c r="J191" s="2"/>
      <c r="K191" s="2"/>
      <c r="L191" s="2"/>
      <c r="M191" s="2"/>
      <c r="N191" s="2"/>
      <c r="O191" s="2"/>
      <c r="P191" s="2"/>
      <c r="Q191" s="2"/>
      <c r="R191" s="2"/>
      <c r="S191" s="2"/>
      <c r="T191" s="2"/>
      <c r="U191" s="2"/>
      <c r="V191" s="2"/>
      <c r="W191" s="2"/>
      <c r="X191" s="2"/>
    </row>
    <row r="192">
      <c r="A192" s="2"/>
      <c r="B192" s="2"/>
      <c r="C192" s="15"/>
      <c r="D192" s="15"/>
      <c r="E192" s="15"/>
      <c r="F192" s="2"/>
      <c r="G192" s="2"/>
      <c r="H192" s="2"/>
      <c r="I192" s="2"/>
      <c r="J192" s="2"/>
      <c r="K192" s="2"/>
      <c r="L192" s="2"/>
      <c r="M192" s="2"/>
      <c r="N192" s="2"/>
      <c r="O192" s="2"/>
      <c r="P192" s="2"/>
      <c r="Q192" s="2"/>
      <c r="R192" s="2"/>
      <c r="S192" s="2"/>
      <c r="T192" s="2"/>
      <c r="U192" s="2"/>
      <c r="V192" s="2"/>
      <c r="W192" s="2"/>
      <c r="X192" s="2"/>
    </row>
    <row r="193">
      <c r="A193" s="2"/>
      <c r="B193" s="2"/>
      <c r="C193" s="15"/>
      <c r="D193" s="15"/>
      <c r="E193" s="15"/>
      <c r="F193" s="2"/>
      <c r="G193" s="2"/>
      <c r="H193" s="2"/>
      <c r="I193" s="2"/>
      <c r="J193" s="2"/>
      <c r="K193" s="2"/>
      <c r="L193" s="2"/>
      <c r="M193" s="2"/>
      <c r="N193" s="2"/>
      <c r="O193" s="2"/>
      <c r="P193" s="2"/>
      <c r="Q193" s="2"/>
      <c r="R193" s="2"/>
      <c r="S193" s="2"/>
      <c r="T193" s="2"/>
      <c r="U193" s="2"/>
      <c r="V193" s="2"/>
      <c r="W193" s="2"/>
      <c r="X193" s="2"/>
    </row>
    <row r="194">
      <c r="A194" s="2"/>
      <c r="B194" s="2"/>
      <c r="C194" s="15"/>
      <c r="D194" s="15"/>
      <c r="E194" s="15"/>
      <c r="F194" s="2"/>
      <c r="G194" s="2"/>
      <c r="H194" s="2"/>
      <c r="I194" s="2"/>
      <c r="J194" s="2"/>
      <c r="K194" s="2"/>
      <c r="L194" s="2"/>
      <c r="M194" s="2"/>
      <c r="N194" s="2"/>
      <c r="O194" s="2"/>
      <c r="P194" s="2"/>
      <c r="Q194" s="2"/>
      <c r="R194" s="2"/>
      <c r="S194" s="2"/>
      <c r="T194" s="2"/>
      <c r="U194" s="2"/>
      <c r="V194" s="2"/>
      <c r="W194" s="2"/>
      <c r="X194" s="2"/>
    </row>
    <row r="195">
      <c r="A195" s="2"/>
      <c r="B195" s="2"/>
      <c r="C195" s="15"/>
      <c r="D195" s="15"/>
      <c r="E195" s="15"/>
      <c r="F195" s="2"/>
      <c r="G195" s="2"/>
      <c r="H195" s="2"/>
      <c r="I195" s="2"/>
      <c r="J195" s="2"/>
      <c r="K195" s="2"/>
      <c r="L195" s="2"/>
      <c r="M195" s="2"/>
      <c r="N195" s="2"/>
      <c r="O195" s="2"/>
      <c r="P195" s="2"/>
      <c r="Q195" s="2"/>
      <c r="R195" s="2"/>
      <c r="S195" s="2"/>
      <c r="T195" s="2"/>
      <c r="U195" s="2"/>
      <c r="V195" s="2"/>
      <c r="W195" s="2"/>
      <c r="X195" s="2"/>
    </row>
    <row r="196">
      <c r="A196" s="2"/>
      <c r="B196" s="2"/>
      <c r="C196" s="15"/>
      <c r="D196" s="15"/>
      <c r="E196" s="15"/>
      <c r="F196" s="2"/>
      <c r="G196" s="2"/>
      <c r="H196" s="2"/>
      <c r="I196" s="2"/>
      <c r="J196" s="2"/>
      <c r="K196" s="2"/>
      <c r="L196" s="2"/>
      <c r="M196" s="2"/>
      <c r="N196" s="2"/>
      <c r="O196" s="2"/>
      <c r="P196" s="2"/>
      <c r="Q196" s="2"/>
      <c r="R196" s="2"/>
      <c r="S196" s="2"/>
      <c r="T196" s="2"/>
      <c r="U196" s="2"/>
      <c r="V196" s="2"/>
      <c r="W196" s="2"/>
      <c r="X196" s="2"/>
    </row>
    <row r="197">
      <c r="A197" s="2"/>
      <c r="B197" s="2"/>
      <c r="C197" s="15"/>
      <c r="D197" s="15"/>
      <c r="E197" s="15"/>
      <c r="F197" s="2"/>
      <c r="G197" s="2"/>
      <c r="H197" s="2"/>
      <c r="I197" s="2"/>
      <c r="J197" s="2"/>
      <c r="K197" s="2"/>
      <c r="L197" s="2"/>
      <c r="M197" s="2"/>
      <c r="N197" s="2"/>
      <c r="O197" s="2"/>
      <c r="P197" s="2"/>
      <c r="Q197" s="2"/>
      <c r="R197" s="2"/>
      <c r="S197" s="2"/>
      <c r="T197" s="2"/>
      <c r="U197" s="2"/>
      <c r="V197" s="2"/>
      <c r="W197" s="2"/>
      <c r="X197" s="2"/>
    </row>
    <row r="198">
      <c r="A198" s="2"/>
      <c r="B198" s="2"/>
      <c r="C198" s="15"/>
      <c r="D198" s="15"/>
      <c r="E198" s="15"/>
      <c r="F198" s="2"/>
      <c r="G198" s="2"/>
      <c r="H198" s="2"/>
      <c r="I198" s="2"/>
      <c r="J198" s="2"/>
      <c r="K198" s="2"/>
      <c r="L198" s="2"/>
      <c r="M198" s="2"/>
      <c r="N198" s="2"/>
      <c r="O198" s="2"/>
      <c r="P198" s="2"/>
      <c r="Q198" s="2"/>
      <c r="R198" s="2"/>
      <c r="S198" s="2"/>
      <c r="T198" s="2"/>
      <c r="U198" s="2"/>
      <c r="V198" s="2"/>
      <c r="W198" s="2"/>
      <c r="X198" s="2"/>
    </row>
    <row r="199">
      <c r="A199" s="2"/>
      <c r="B199" s="2"/>
      <c r="C199" s="15"/>
      <c r="D199" s="15"/>
      <c r="E199" s="15"/>
      <c r="F199" s="2"/>
      <c r="G199" s="2"/>
      <c r="H199" s="2"/>
      <c r="I199" s="2"/>
      <c r="J199" s="2"/>
      <c r="K199" s="2"/>
      <c r="L199" s="2"/>
      <c r="M199" s="2"/>
      <c r="N199" s="2"/>
      <c r="O199" s="2"/>
      <c r="P199" s="2"/>
      <c r="Q199" s="2"/>
      <c r="R199" s="2"/>
      <c r="S199" s="2"/>
      <c r="T199" s="2"/>
      <c r="U199" s="2"/>
      <c r="V199" s="2"/>
      <c r="W199" s="2"/>
      <c r="X199" s="2"/>
    </row>
    <row r="200">
      <c r="A200" s="2"/>
      <c r="B200" s="2"/>
      <c r="C200" s="15"/>
      <c r="D200" s="15"/>
      <c r="E200" s="15"/>
      <c r="F200" s="2"/>
      <c r="G200" s="2"/>
      <c r="H200" s="2"/>
      <c r="I200" s="2"/>
      <c r="J200" s="2"/>
      <c r="K200" s="2"/>
      <c r="L200" s="2"/>
      <c r="M200" s="2"/>
      <c r="N200" s="2"/>
      <c r="O200" s="2"/>
      <c r="P200" s="2"/>
      <c r="Q200" s="2"/>
      <c r="R200" s="2"/>
      <c r="S200" s="2"/>
      <c r="T200" s="2"/>
      <c r="U200" s="2"/>
      <c r="V200" s="2"/>
      <c r="W200" s="2"/>
      <c r="X200" s="2"/>
    </row>
    <row r="201">
      <c r="A201" s="2"/>
      <c r="B201" s="2"/>
      <c r="C201" s="15"/>
      <c r="D201" s="15"/>
      <c r="E201" s="15"/>
      <c r="F201" s="2"/>
      <c r="G201" s="2"/>
      <c r="H201" s="2"/>
      <c r="I201" s="2"/>
      <c r="J201" s="2"/>
      <c r="K201" s="2"/>
      <c r="L201" s="2"/>
      <c r="M201" s="2"/>
      <c r="N201" s="2"/>
      <c r="O201" s="2"/>
      <c r="P201" s="2"/>
      <c r="Q201" s="2"/>
      <c r="R201" s="2"/>
      <c r="S201" s="2"/>
      <c r="T201" s="2"/>
      <c r="U201" s="2"/>
      <c r="V201" s="2"/>
      <c r="W201" s="2"/>
      <c r="X201" s="2"/>
    </row>
    <row r="202">
      <c r="A202" s="2"/>
      <c r="B202" s="2"/>
      <c r="C202" s="15"/>
      <c r="D202" s="15"/>
      <c r="E202" s="15"/>
      <c r="F202" s="2"/>
      <c r="G202" s="2"/>
      <c r="H202" s="2"/>
      <c r="I202" s="2"/>
      <c r="J202" s="2"/>
      <c r="K202" s="2"/>
      <c r="L202" s="2"/>
      <c r="M202" s="2"/>
      <c r="N202" s="2"/>
      <c r="O202" s="2"/>
      <c r="P202" s="2"/>
      <c r="Q202" s="2"/>
      <c r="R202" s="2"/>
      <c r="S202" s="2"/>
      <c r="T202" s="2"/>
      <c r="U202" s="2"/>
      <c r="V202" s="2"/>
      <c r="W202" s="2"/>
      <c r="X202" s="2"/>
    </row>
    <row r="203">
      <c r="A203" s="2"/>
      <c r="B203" s="2"/>
      <c r="C203" s="15"/>
      <c r="D203" s="15"/>
      <c r="E203" s="15"/>
      <c r="F203" s="2"/>
      <c r="G203" s="2"/>
      <c r="H203" s="2"/>
      <c r="I203" s="2"/>
      <c r="J203" s="2"/>
      <c r="K203" s="2"/>
      <c r="L203" s="2"/>
      <c r="M203" s="2"/>
      <c r="N203" s="2"/>
      <c r="O203" s="2"/>
      <c r="P203" s="2"/>
      <c r="Q203" s="2"/>
      <c r="R203" s="2"/>
      <c r="S203" s="2"/>
      <c r="T203" s="2"/>
      <c r="U203" s="2"/>
      <c r="V203" s="2"/>
      <c r="W203" s="2"/>
      <c r="X203" s="2"/>
    </row>
    <row r="204">
      <c r="A204" s="2"/>
      <c r="B204" s="2"/>
      <c r="C204" s="15"/>
      <c r="D204" s="15"/>
      <c r="E204" s="15"/>
      <c r="F204" s="2"/>
      <c r="G204" s="2"/>
      <c r="H204" s="2"/>
      <c r="I204" s="2"/>
      <c r="J204" s="2"/>
      <c r="K204" s="2"/>
      <c r="L204" s="2"/>
      <c r="M204" s="2"/>
      <c r="N204" s="2"/>
      <c r="O204" s="2"/>
      <c r="P204" s="2"/>
      <c r="Q204" s="2"/>
      <c r="R204" s="2"/>
      <c r="S204" s="2"/>
      <c r="T204" s="2"/>
      <c r="U204" s="2"/>
      <c r="V204" s="2"/>
      <c r="W204" s="2"/>
      <c r="X204" s="2"/>
    </row>
    <row r="205">
      <c r="A205" s="2"/>
      <c r="B205" s="2"/>
      <c r="C205" s="15"/>
      <c r="D205" s="15"/>
      <c r="E205" s="15"/>
      <c r="F205" s="2"/>
      <c r="G205" s="2"/>
      <c r="H205" s="2"/>
      <c r="I205" s="2"/>
      <c r="J205" s="2"/>
      <c r="K205" s="2"/>
      <c r="L205" s="2"/>
      <c r="M205" s="2"/>
      <c r="N205" s="2"/>
      <c r="O205" s="2"/>
      <c r="P205" s="2"/>
      <c r="Q205" s="2"/>
      <c r="R205" s="2"/>
      <c r="S205" s="2"/>
      <c r="T205" s="2"/>
      <c r="U205" s="2"/>
      <c r="V205" s="2"/>
      <c r="W205" s="2"/>
      <c r="X205" s="2"/>
    </row>
    <row r="206">
      <c r="A206" s="2"/>
      <c r="B206" s="2"/>
      <c r="C206" s="15"/>
      <c r="D206" s="15"/>
      <c r="E206" s="15"/>
      <c r="F206" s="2"/>
      <c r="G206" s="2"/>
      <c r="H206" s="2"/>
      <c r="I206" s="2"/>
      <c r="J206" s="2"/>
      <c r="K206" s="2"/>
      <c r="L206" s="2"/>
      <c r="M206" s="2"/>
      <c r="N206" s="2"/>
      <c r="O206" s="2"/>
      <c r="P206" s="2"/>
      <c r="Q206" s="2"/>
      <c r="R206" s="2"/>
      <c r="S206" s="2"/>
      <c r="T206" s="2"/>
      <c r="U206" s="2"/>
      <c r="V206" s="2"/>
      <c r="W206" s="2"/>
      <c r="X206" s="2"/>
    </row>
    <row r="207">
      <c r="A207" s="2"/>
      <c r="B207" s="2"/>
      <c r="C207" s="15"/>
      <c r="D207" s="15"/>
      <c r="E207" s="15"/>
      <c r="F207" s="2"/>
      <c r="G207" s="2"/>
      <c r="H207" s="2"/>
      <c r="I207" s="2"/>
      <c r="J207" s="2"/>
      <c r="K207" s="2"/>
      <c r="L207" s="2"/>
      <c r="M207" s="2"/>
      <c r="N207" s="2"/>
      <c r="O207" s="2"/>
      <c r="P207" s="2"/>
      <c r="Q207" s="2"/>
      <c r="R207" s="2"/>
      <c r="S207" s="2"/>
      <c r="T207" s="2"/>
      <c r="U207" s="2"/>
      <c r="V207" s="2"/>
      <c r="W207" s="2"/>
      <c r="X207" s="2"/>
    </row>
    <row r="208">
      <c r="A208" s="2"/>
      <c r="B208" s="2"/>
      <c r="C208" s="15"/>
      <c r="D208" s="15"/>
      <c r="E208" s="15"/>
      <c r="F208" s="2"/>
      <c r="G208" s="2"/>
      <c r="H208" s="2"/>
      <c r="I208" s="2"/>
      <c r="J208" s="2"/>
      <c r="K208" s="2"/>
      <c r="L208" s="2"/>
      <c r="M208" s="2"/>
      <c r="N208" s="2"/>
      <c r="O208" s="2"/>
      <c r="P208" s="2"/>
      <c r="Q208" s="2"/>
      <c r="R208" s="2"/>
      <c r="S208" s="2"/>
      <c r="T208" s="2"/>
      <c r="U208" s="2"/>
      <c r="V208" s="2"/>
      <c r="W208" s="2"/>
      <c r="X208" s="2"/>
    </row>
    <row r="209">
      <c r="A209" s="2"/>
      <c r="B209" s="2"/>
      <c r="C209" s="15"/>
      <c r="D209" s="15"/>
      <c r="E209" s="15"/>
      <c r="F209" s="2"/>
      <c r="G209" s="2"/>
      <c r="H209" s="2"/>
      <c r="I209" s="2"/>
      <c r="J209" s="2"/>
      <c r="K209" s="2"/>
      <c r="L209" s="2"/>
      <c r="M209" s="2"/>
      <c r="N209" s="2"/>
      <c r="O209" s="2"/>
      <c r="P209" s="2"/>
      <c r="Q209" s="2"/>
      <c r="R209" s="2"/>
      <c r="S209" s="2"/>
      <c r="T209" s="2"/>
      <c r="U209" s="2"/>
      <c r="V209" s="2"/>
      <c r="W209" s="2"/>
      <c r="X209" s="2"/>
    </row>
    <row r="210">
      <c r="A210" s="2"/>
      <c r="B210" s="2"/>
      <c r="C210" s="15"/>
      <c r="D210" s="15"/>
      <c r="E210" s="15"/>
      <c r="F210" s="2"/>
      <c r="G210" s="2"/>
      <c r="H210" s="2"/>
      <c r="I210" s="2"/>
      <c r="J210" s="2"/>
      <c r="K210" s="2"/>
      <c r="L210" s="2"/>
      <c r="M210" s="2"/>
      <c r="N210" s="2"/>
      <c r="O210" s="2"/>
      <c r="P210" s="2"/>
      <c r="Q210" s="2"/>
      <c r="R210" s="2"/>
      <c r="S210" s="2"/>
      <c r="T210" s="2"/>
      <c r="U210" s="2"/>
      <c r="V210" s="2"/>
      <c r="W210" s="2"/>
      <c r="X210" s="2"/>
    </row>
    <row r="211">
      <c r="A211" s="2"/>
      <c r="B211" s="2"/>
      <c r="C211" s="15"/>
      <c r="D211" s="15"/>
      <c r="E211" s="15"/>
      <c r="F211" s="2"/>
      <c r="G211" s="2"/>
      <c r="H211" s="2"/>
      <c r="I211" s="2"/>
      <c r="J211" s="2"/>
      <c r="K211" s="2"/>
      <c r="L211" s="2"/>
      <c r="M211" s="2"/>
      <c r="N211" s="2"/>
      <c r="O211" s="2"/>
      <c r="P211" s="2"/>
      <c r="Q211" s="2"/>
      <c r="R211" s="2"/>
      <c r="S211" s="2"/>
      <c r="T211" s="2"/>
      <c r="U211" s="2"/>
      <c r="V211" s="2"/>
      <c r="W211" s="2"/>
      <c r="X211" s="2"/>
    </row>
    <row r="212">
      <c r="A212" s="2"/>
      <c r="B212" s="2"/>
      <c r="C212" s="15"/>
      <c r="D212" s="15"/>
      <c r="E212" s="15"/>
      <c r="F212" s="2"/>
      <c r="G212" s="2"/>
      <c r="H212" s="2"/>
      <c r="I212" s="2"/>
      <c r="J212" s="2"/>
      <c r="K212" s="2"/>
      <c r="L212" s="2"/>
      <c r="M212" s="2"/>
      <c r="N212" s="2"/>
      <c r="O212" s="2"/>
      <c r="P212" s="2"/>
      <c r="Q212" s="2"/>
      <c r="R212" s="2"/>
      <c r="S212" s="2"/>
      <c r="T212" s="2"/>
      <c r="U212" s="2"/>
      <c r="V212" s="2"/>
      <c r="W212" s="2"/>
      <c r="X212" s="2"/>
    </row>
    <row r="213">
      <c r="A213" s="2"/>
      <c r="B213" s="2"/>
      <c r="C213" s="15"/>
      <c r="D213" s="15"/>
      <c r="E213" s="15"/>
      <c r="F213" s="2"/>
      <c r="G213" s="2"/>
      <c r="H213" s="2"/>
      <c r="I213" s="2"/>
      <c r="J213" s="2"/>
      <c r="K213" s="2"/>
      <c r="L213" s="2"/>
      <c r="M213" s="2"/>
      <c r="N213" s="2"/>
      <c r="O213" s="2"/>
      <c r="P213" s="2"/>
      <c r="Q213" s="2"/>
      <c r="R213" s="2"/>
      <c r="S213" s="2"/>
      <c r="T213" s="2"/>
      <c r="U213" s="2"/>
      <c r="V213" s="2"/>
      <c r="W213" s="2"/>
      <c r="X213" s="2"/>
    </row>
    <row r="214">
      <c r="A214" s="2"/>
      <c r="B214" s="2"/>
      <c r="C214" s="15"/>
      <c r="D214" s="15"/>
      <c r="E214" s="15"/>
      <c r="F214" s="2"/>
      <c r="G214" s="2"/>
      <c r="H214" s="2"/>
      <c r="I214" s="2"/>
      <c r="J214" s="2"/>
      <c r="K214" s="2"/>
      <c r="L214" s="2"/>
      <c r="M214" s="2"/>
      <c r="N214" s="2"/>
      <c r="O214" s="2"/>
      <c r="P214" s="2"/>
      <c r="Q214" s="2"/>
      <c r="R214" s="2"/>
      <c r="S214" s="2"/>
      <c r="T214" s="2"/>
      <c r="U214" s="2"/>
      <c r="V214" s="2"/>
      <c r="W214" s="2"/>
      <c r="X214" s="2"/>
    </row>
    <row r="215">
      <c r="A215" s="2"/>
      <c r="B215" s="2"/>
      <c r="C215" s="15"/>
      <c r="D215" s="15"/>
      <c r="E215" s="15"/>
      <c r="F215" s="2"/>
      <c r="G215" s="2"/>
      <c r="H215" s="2"/>
      <c r="I215" s="2"/>
      <c r="J215" s="2"/>
      <c r="K215" s="2"/>
      <c r="L215" s="2"/>
      <c r="M215" s="2"/>
      <c r="N215" s="2"/>
      <c r="O215" s="2"/>
      <c r="P215" s="2"/>
      <c r="Q215" s="2"/>
      <c r="R215" s="2"/>
      <c r="S215" s="2"/>
      <c r="T215" s="2"/>
      <c r="U215" s="2"/>
      <c r="V215" s="2"/>
      <c r="W215" s="2"/>
      <c r="X215" s="2"/>
    </row>
    <row r="216">
      <c r="A216" s="2"/>
      <c r="B216" s="2"/>
      <c r="C216" s="15"/>
      <c r="D216" s="15"/>
      <c r="E216" s="15"/>
      <c r="F216" s="2"/>
      <c r="G216" s="2"/>
      <c r="H216" s="2"/>
      <c r="I216" s="2"/>
      <c r="J216" s="2"/>
      <c r="K216" s="2"/>
      <c r="L216" s="2"/>
      <c r="M216" s="2"/>
      <c r="N216" s="2"/>
      <c r="O216" s="2"/>
      <c r="P216" s="2"/>
      <c r="Q216" s="2"/>
      <c r="R216" s="2"/>
      <c r="S216" s="2"/>
      <c r="T216" s="2"/>
      <c r="U216" s="2"/>
      <c r="V216" s="2"/>
      <c r="W216" s="2"/>
      <c r="X216" s="2"/>
    </row>
    <row r="217">
      <c r="A217" s="2"/>
      <c r="B217" s="2"/>
      <c r="C217" s="15"/>
      <c r="D217" s="15"/>
      <c r="E217" s="15"/>
      <c r="F217" s="2"/>
      <c r="G217" s="2"/>
      <c r="H217" s="2"/>
      <c r="I217" s="2"/>
      <c r="J217" s="2"/>
      <c r="K217" s="2"/>
      <c r="L217" s="2"/>
      <c r="M217" s="2"/>
      <c r="N217" s="2"/>
      <c r="O217" s="2"/>
      <c r="P217" s="2"/>
      <c r="Q217" s="2"/>
      <c r="R217" s="2"/>
      <c r="S217" s="2"/>
      <c r="T217" s="2"/>
      <c r="U217" s="2"/>
      <c r="V217" s="2"/>
      <c r="W217" s="2"/>
      <c r="X217" s="2"/>
    </row>
  </sheetData>
  <mergeCells>
    <mergeCell ref="C1:E1"/>
    <mergeCell ref="F1:H1"/>
    <mergeCell ref="I1:K1"/>
    <mergeCell ref="L1:N1"/>
    <mergeCell ref="O1:Q1"/>
    <mergeCell ref="R1:T1"/>
    <mergeCell ref="U1:W1"/>
    <mergeCell ref="X1:Z1"/>
    <mergeCell ref="A14:C14"/>
    <mergeCell ref="A18:X18"/>
    <mergeCell ref="C19:E19"/>
    <mergeCell ref="F19:H19"/>
    <mergeCell ref="I19:K19"/>
    <mergeCell ref="L19:N19"/>
    <mergeCell ref="O19:Q19"/>
    <mergeCell ref="R19:T19"/>
    <mergeCell ref="U19:W19"/>
    <mergeCell ref="C38:E38"/>
    <mergeCell ref="F38:H38"/>
    <mergeCell ref="I38:K38"/>
    <mergeCell ref="L38:N38"/>
    <mergeCell ref="O38:Q38"/>
    <mergeCell ref="R38:T38"/>
    <mergeCell ref="U38:W38"/>
    <mergeCell ref="C49:E49"/>
    <mergeCell ref="F49:H49"/>
    <mergeCell ref="I49:K49"/>
    <mergeCell ref="L49:N49"/>
    <mergeCell ref="O49:Q49"/>
    <mergeCell ref="R49:T49"/>
    <mergeCell ref="U49:W49"/>
    <mergeCell ref="C58:E58"/>
    <mergeCell ref="F58:H58"/>
    <mergeCell ref="I58:K58"/>
    <mergeCell ref="L58:N58"/>
    <mergeCell ref="O58:Q58"/>
    <mergeCell ref="R58:T58"/>
    <mergeCell ref="U58:W58"/>
    <mergeCell ref="C62:E62"/>
    <mergeCell ref="F62:H62"/>
    <mergeCell ref="I62:K62"/>
    <mergeCell ref="L62:N62"/>
    <mergeCell ref="O62:Q62"/>
    <mergeCell ref="R62:T62"/>
    <mergeCell ref="U62:W62"/>
    <mergeCell ref="C71:E71"/>
    <mergeCell ref="F71:H71"/>
    <mergeCell ref="I71:K71"/>
    <mergeCell ref="L71:N71"/>
    <mergeCell ref="O71:Q71"/>
    <mergeCell ref="R71:T71"/>
    <mergeCell ref="U71:W71"/>
    <mergeCell ref="C75:E75"/>
    <mergeCell ref="F75:H75"/>
    <mergeCell ref="I75:K75"/>
    <mergeCell ref="L75:N75"/>
    <mergeCell ref="O75:Q75"/>
    <mergeCell ref="R75:T75"/>
    <mergeCell ref="U75:W75"/>
    <mergeCell ref="X75:Z75"/>
    <mergeCell ref="C86:E86"/>
    <mergeCell ref="F86:H86"/>
    <mergeCell ref="I86:K86"/>
    <mergeCell ref="L86:N86"/>
    <mergeCell ref="O86:Q86"/>
  </mergeCells>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6.0" baseColWidth="10"/>
  <cols>
    <col min="1" max="1" width="10.833333333333334" customWidth="true"/>
    <col min="2" max="2" width="10.833333333333334" customWidth="true"/>
    <col min="3" max="3" width="12.666666666666666" customWidth="true"/>
    <col min="4" max="4" width="10.833333333333334" customWidth="true"/>
    <col min="5" max="5" width="10.833333333333334" customWidth="true"/>
    <col min="6" max="6" width="12.333333333333334" customWidth="true"/>
    <col min="7" max="7" width="10.833333333333334" customWidth="true"/>
    <col min="8" max="8" width="14.166666666666666" customWidth="true"/>
    <col min="9" max="9" width="10.833333333333334" customWidth="true"/>
    <col min="10" max="10" width="10.833333333333334"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 min="19" max="19" width="10.833333333333334" customWidth="true"/>
    <col min="20" max="20" width="10.833333333333334" customWidth="true"/>
    <col min="21" max="21" width="10.833333333333334" customWidth="true"/>
    <col min="22" max="22" width="10.833333333333334" customWidth="true"/>
    <col min="23" max="23" width="10.833333333333334" customWidth="true"/>
    <col min="24" max="24" width="10.833333333333334" customWidth="true"/>
  </cols>
  <sheetData>
    <row r="1">
      <c r="A1" s="4" t="s">
        <v>0</v>
      </c>
      <c r="B1" s="1" t="s">
        <v>102</v>
      </c>
      <c r="C1" s="39" t="s">
        <v>2</v>
      </c>
      <c r="D1" s="1" t="s">
        <v>3</v>
      </c>
      <c r="E1" s="7" t="s">
        <v>35</v>
      </c>
      <c r="F1" s="7"/>
      <c r="G1" s="7"/>
      <c r="H1" s="2"/>
      <c r="I1" s="2"/>
    </row>
    <row r="2">
      <c r="A2" s="4"/>
      <c r="B2" s="1" t="s">
        <v>1479</v>
      </c>
      <c r="C2" s="1" t="s">
        <v>1480</v>
      </c>
      <c r="D2" s="5" t="s">
        <v>1481</v>
      </c>
      <c r="E2" s="1" t="s">
        <v>1482</v>
      </c>
      <c r="F2" s="1"/>
      <c r="G2" s="1"/>
      <c r="H2" s="15"/>
    </row>
    <row r="3">
      <c r="A3" s="3" t="n">
        <v>44067.0</v>
      </c>
      <c r="B3" s="1" t="s">
        <v>5</v>
      </c>
      <c r="C3" s="1" t="s">
        <v>1268</v>
      </c>
      <c r="D3" s="2" t="s">
        <v>1269</v>
      </c>
      <c r="E3" s="25" t="s">
        <v>1268</v>
      </c>
      <c r="F3" s="1"/>
      <c r="G3" s="1"/>
      <c r="H3" s="2"/>
    </row>
    <row r="4">
      <c r="A4" s="3" t="n">
        <v>44068.0</v>
      </c>
      <c r="B4" s="1" t="s">
        <v>7</v>
      </c>
      <c r="C4" s="1" t="s">
        <v>1269</v>
      </c>
      <c r="D4" s="1" t="s">
        <v>1269</v>
      </c>
      <c r="E4" s="25" t="s">
        <v>1268</v>
      </c>
      <c r="F4" s="1"/>
      <c r="G4" s="1"/>
      <c r="H4" s="2"/>
    </row>
    <row r="5">
      <c r="A5" s="3" t="n">
        <v>44069.0</v>
      </c>
      <c r="B5" s="1" t="s">
        <v>9</v>
      </c>
      <c r="C5" s="1" t="s">
        <v>1269</v>
      </c>
      <c r="D5" s="25" t="s">
        <v>1268</v>
      </c>
      <c r="E5" s="25" t="s">
        <v>1268</v>
      </c>
      <c r="F5" s="1"/>
      <c r="G5" s="1"/>
      <c r="H5" s="2"/>
    </row>
    <row r="6">
      <c r="A6" s="3" t="n">
        <v>44070.0</v>
      </c>
      <c r="B6" s="1" t="s">
        <v>12</v>
      </c>
      <c r="C6" s="1"/>
      <c r="D6" s="25" t="s">
        <v>1268</v>
      </c>
      <c r="E6" s="25" t="s">
        <v>1268</v>
      </c>
      <c r="F6" s="1"/>
      <c r="G6" s="1"/>
      <c r="H6" s="1"/>
    </row>
    <row r="7">
      <c r="A7" s="3" t="n">
        <v>44071.0</v>
      </c>
      <c r="B7" s="1" t="s">
        <v>15</v>
      </c>
      <c r="C7" s="1"/>
      <c r="D7" s="1" t="s">
        <v>1269</v>
      </c>
      <c r="E7" s="26" t="s">
        <v>1269</v>
      </c>
      <c r="F7" s="1"/>
      <c r="G7" s="1"/>
      <c r="H7" s="1"/>
    </row>
    <row r="8">
      <c r="A8" s="3" t="n">
        <v>44072.0</v>
      </c>
      <c r="B8" s="1" t="s">
        <v>16</v>
      </c>
      <c r="C8" s="1"/>
      <c r="D8" s="1" t="s">
        <v>1269</v>
      </c>
      <c r="E8" s="25" t="s">
        <v>1268</v>
      </c>
      <c r="F8" s="1"/>
      <c r="G8" s="1"/>
      <c r="H8" s="1"/>
    </row>
    <row r="9">
      <c r="A9" s="3" t="n">
        <v>44073.0</v>
      </c>
      <c r="B9" s="1" t="s">
        <v>19</v>
      </c>
      <c r="C9" s="1"/>
      <c r="D9" s="1" t="s">
        <v>1269</v>
      </c>
      <c r="E9" s="25" t="s">
        <v>1268</v>
      </c>
      <c r="F9" s="1"/>
      <c r="G9" s="1"/>
      <c r="H9" s="1"/>
      <c r="I9" s="2"/>
    </row>
    <row r="10">
      <c r="A10" s="4"/>
      <c r="B10" s="1"/>
      <c r="C10" s="1"/>
      <c r="D10" s="1"/>
      <c r="E10" s="1"/>
      <c r="F10" s="2"/>
      <c r="G10" s="2"/>
      <c r="H10" s="2"/>
    </row>
    <row r="11">
      <c r="A11" s="274" t="s">
        <v>21</v>
      </c>
      <c r="B11" s="275" t="s">
        <v>222</v>
      </c>
      <c r="C11" s="276" t="s">
        <v>134</v>
      </c>
      <c r="D11" s="1"/>
      <c r="E11" s="1"/>
    </row>
    <row r="12" customHeight="1" ht="65.0">
      <c r="A12" s="172" t="s">
        <v>1483</v>
      </c>
      <c r="B12" s="5" t="s">
        <v>1484</v>
      </c>
      <c r="C12" s="173" t="s">
        <v>1264</v>
      </c>
      <c r="D12" s="1"/>
      <c r="E12" s="1"/>
    </row>
    <row r="13">
      <c r="A13" s="257" t="s">
        <v>1267</v>
      </c>
      <c r="B13" s="48"/>
      <c r="C13" s="258"/>
      <c r="D13" s="1"/>
      <c r="E13" s="1"/>
    </row>
    <row r="14">
      <c r="A14" s="259" t="s">
        <v>1268</v>
      </c>
      <c r="B14" s="260" t="s">
        <v>1269</v>
      </c>
      <c r="C14" s="261"/>
      <c r="D14" s="1"/>
      <c r="E14" s="1"/>
    </row>
    <row r="15">
      <c r="A15" s="4"/>
      <c r="B15" s="1"/>
      <c r="C15" s="1"/>
      <c r="D15" s="1"/>
      <c r="E15" s="1"/>
    </row>
    <row r="16">
      <c r="A16" s="14" t="s">
        <v>30</v>
      </c>
      <c r="B16" s="14"/>
      <c r="C16" s="34"/>
      <c r="D16" s="34"/>
      <c r="E16" s="14"/>
      <c r="F16" s="14"/>
      <c r="G16" s="14"/>
      <c r="H16" s="14"/>
      <c r="I16" s="14"/>
      <c r="J16" s="14"/>
      <c r="K16" s="14"/>
      <c r="L16" s="14"/>
      <c r="M16" s="14"/>
      <c r="N16" s="14"/>
      <c r="O16" s="14"/>
      <c r="P16" s="14"/>
      <c r="Q16" s="14"/>
      <c r="R16" s="14"/>
      <c r="S16" s="14"/>
      <c r="T16" s="14"/>
      <c r="U16" s="14"/>
      <c r="V16" s="14"/>
      <c r="W16" s="14"/>
      <c r="X16" s="14"/>
    </row>
    <row r="17">
      <c r="A17" s="4" t="s">
        <v>0</v>
      </c>
      <c r="B17" s="1" t="s">
        <v>102</v>
      </c>
      <c r="C17" s="1" t="s">
        <v>1485</v>
      </c>
      <c r="D17" s="1" t="s">
        <v>1486</v>
      </c>
      <c r="E17" s="39" t="s">
        <v>2</v>
      </c>
    </row>
    <row r="18">
      <c r="A18" s="17" t="n">
        <v>44032.0</v>
      </c>
      <c r="B18" s="1" t="s">
        <v>90</v>
      </c>
      <c r="C18" s="152" t="s">
        <v>1268</v>
      </c>
      <c r="D18" s="26" t="s">
        <v>1269</v>
      </c>
      <c r="E18" s="26" t="s">
        <v>1269</v>
      </c>
    </row>
    <row r="19">
      <c r="A19" s="17" t="n">
        <v>44033.0</v>
      </c>
      <c r="B19" s="1" t="s">
        <v>92</v>
      </c>
      <c r="E19" s="152" t="s">
        <v>1268</v>
      </c>
    </row>
    <row r="20">
      <c r="A20" s="17" t="n">
        <v>44034.0</v>
      </c>
      <c r="B20" s="1" t="s">
        <v>94</v>
      </c>
      <c r="E20" s="152" t="s">
        <v>1268</v>
      </c>
    </row>
    <row r="21">
      <c r="A21" s="17" t="n">
        <v>44035.0</v>
      </c>
      <c r="B21" s="1" t="s">
        <v>96</v>
      </c>
      <c r="E21" s="152" t="s">
        <v>1268</v>
      </c>
    </row>
    <row r="22">
      <c r="A22" s="17" t="n">
        <v>44036.0</v>
      </c>
      <c r="B22" s="1" t="s">
        <v>98</v>
      </c>
      <c r="E22" s="26" t="s">
        <v>1269</v>
      </c>
    </row>
    <row r="23">
      <c r="A23" s="17" t="n">
        <v>44037.0</v>
      </c>
      <c r="B23" s="1" t="s">
        <v>100</v>
      </c>
      <c r="E23" s="2" t="s">
        <v>1268</v>
      </c>
    </row>
    <row r="24">
      <c r="A24" s="17" t="n">
        <v>44038.0</v>
      </c>
      <c r="B24" s="1" t="s">
        <v>101</v>
      </c>
    </row>
    <row r="25">
      <c r="A25" s="1"/>
      <c r="B25" s="1"/>
    </row>
    <row r="26">
      <c r="A26" s="6" t="s">
        <v>0</v>
      </c>
      <c r="B26" s="7" t="s">
        <v>102</v>
      </c>
      <c r="C26" s="67" t="s">
        <v>2</v>
      </c>
      <c r="D26" s="7" t="s">
        <v>34</v>
      </c>
      <c r="E26" s="7" t="s">
        <v>3</v>
      </c>
      <c r="F26" s="67" t="s">
        <v>4</v>
      </c>
      <c r="G26" s="67" t="s">
        <v>167</v>
      </c>
      <c r="H26" s="7" t="s">
        <v>35</v>
      </c>
      <c r="I26" s="275"/>
      <c r="J26" s="275"/>
      <c r="K26" s="275"/>
      <c r="L26" s="275"/>
      <c r="M26" s="275"/>
      <c r="N26" s="275"/>
      <c r="O26" s="275"/>
      <c r="P26" s="275"/>
      <c r="Q26" s="275"/>
      <c r="R26" s="275"/>
      <c r="S26" s="275"/>
      <c r="T26" s="275"/>
      <c r="U26" s="275"/>
      <c r="V26" s="275"/>
      <c r="W26" s="275"/>
      <c r="X26" s="276"/>
    </row>
    <row r="27" customHeight="1" ht="26.0">
      <c r="A27" s="277"/>
      <c r="B27" s="1" t="s">
        <v>1479</v>
      </c>
      <c r="C27" s="1" t="s">
        <v>1487</v>
      </c>
      <c r="D27" s="5" t="s">
        <v>1488</v>
      </c>
      <c r="E27" s="1" t="s">
        <v>1489</v>
      </c>
      <c r="F27" s="1" t="s">
        <v>1490</v>
      </c>
      <c r="G27" s="1" t="s">
        <v>1491</v>
      </c>
      <c r="H27" s="1" t="s">
        <v>1482</v>
      </c>
      <c r="I27" s="2"/>
      <c r="J27" s="2"/>
      <c r="K27" s="2"/>
      <c r="L27" s="2"/>
      <c r="M27" s="2"/>
      <c r="N27" s="2"/>
      <c r="O27" s="2"/>
      <c r="P27" s="2"/>
      <c r="Q27" s="2"/>
      <c r="R27" s="2"/>
      <c r="S27" s="2"/>
      <c r="T27" s="2"/>
      <c r="U27" s="2"/>
      <c r="V27" s="2"/>
      <c r="W27" s="2"/>
      <c r="X27" s="278"/>
    </row>
    <row r="28">
      <c r="A28" s="176" t="n">
        <v>44039.0</v>
      </c>
      <c r="B28" s="1" t="s">
        <v>90</v>
      </c>
      <c r="C28" s="26" t="s">
        <v>1269</v>
      </c>
      <c r="D28" s="26"/>
      <c r="E28" s="25" t="s">
        <v>1268</v>
      </c>
      <c r="F28" s="37" t="s">
        <v>1269</v>
      </c>
      <c r="G28" s="37" t="s">
        <v>1269</v>
      </c>
      <c r="H28" s="2"/>
      <c r="I28" s="2"/>
      <c r="J28" s="2"/>
      <c r="K28" s="2"/>
      <c r="L28" s="2"/>
      <c r="M28" s="2"/>
      <c r="N28" s="2"/>
      <c r="O28" s="2"/>
      <c r="P28" s="2"/>
      <c r="Q28" s="2"/>
      <c r="R28" s="2"/>
      <c r="S28" s="2"/>
      <c r="T28" s="2"/>
      <c r="U28" s="2"/>
      <c r="V28" s="2"/>
      <c r="W28" s="2"/>
      <c r="X28" s="278"/>
    </row>
    <row r="29">
      <c r="A29" s="176" t="n">
        <v>44040.0</v>
      </c>
      <c r="B29" s="1" t="s">
        <v>92</v>
      </c>
      <c r="C29" s="26" t="s">
        <v>1269</v>
      </c>
      <c r="D29" s="26"/>
      <c r="E29" s="26" t="s">
        <v>1269</v>
      </c>
      <c r="F29" s="37" t="s">
        <v>1269</v>
      </c>
      <c r="G29" s="37" t="s">
        <v>1269</v>
      </c>
      <c r="H29" s="2"/>
      <c r="I29" s="2"/>
      <c r="J29" s="2"/>
      <c r="K29" s="2"/>
      <c r="L29" s="2"/>
      <c r="M29" s="2"/>
      <c r="N29" s="2"/>
      <c r="O29" s="2"/>
      <c r="P29" s="2"/>
      <c r="Q29" s="2"/>
      <c r="R29" s="2"/>
      <c r="S29" s="2"/>
      <c r="T29" s="2"/>
      <c r="U29" s="2"/>
      <c r="V29" s="2"/>
      <c r="W29" s="2"/>
      <c r="X29" s="278"/>
    </row>
    <row r="30">
      <c r="A30" s="176" t="n">
        <v>44041.0</v>
      </c>
      <c r="B30" s="1" t="s">
        <v>94</v>
      </c>
      <c r="C30" s="25" t="s">
        <v>1268</v>
      </c>
      <c r="D30" s="26"/>
      <c r="E30" s="26" t="s">
        <v>1269</v>
      </c>
      <c r="F30" s="25" t="s">
        <v>1268</v>
      </c>
      <c r="G30" s="37"/>
      <c r="H30" s="2"/>
      <c r="I30" s="2"/>
      <c r="J30" s="2"/>
      <c r="K30" s="2"/>
      <c r="L30" s="2"/>
      <c r="M30" s="2"/>
      <c r="N30" s="2"/>
      <c r="O30" s="2"/>
      <c r="P30" s="2"/>
      <c r="Q30" s="2"/>
      <c r="R30" s="2"/>
      <c r="S30" s="2"/>
      <c r="T30" s="2"/>
      <c r="U30" s="2"/>
      <c r="V30" s="2"/>
      <c r="W30" s="2"/>
      <c r="X30" s="278"/>
    </row>
    <row r="31">
      <c r="A31" s="176" t="n">
        <v>44042.0</v>
      </c>
      <c r="B31" s="1" t="s">
        <v>96</v>
      </c>
      <c r="C31" s="25" t="s">
        <v>1268</v>
      </c>
      <c r="D31" s="26"/>
      <c r="E31" s="26" t="s">
        <v>1269</v>
      </c>
      <c r="F31" s="25" t="s">
        <v>1268</v>
      </c>
      <c r="G31" s="37"/>
      <c r="H31" s="25" t="s">
        <v>1268</v>
      </c>
      <c r="I31" s="2"/>
      <c r="J31" s="2"/>
      <c r="K31" s="2"/>
      <c r="L31" s="2"/>
      <c r="M31" s="2"/>
      <c r="N31" s="2"/>
      <c r="O31" s="2"/>
      <c r="P31" s="2"/>
      <c r="Q31" s="2"/>
      <c r="R31" s="2"/>
      <c r="S31" s="2"/>
      <c r="T31" s="2"/>
      <c r="U31" s="2"/>
      <c r="V31" s="2"/>
      <c r="W31" s="2"/>
      <c r="X31" s="278"/>
    </row>
    <row r="32">
      <c r="A32" s="176" t="n">
        <v>44043.0</v>
      </c>
      <c r="B32" s="1" t="s">
        <v>98</v>
      </c>
      <c r="C32" s="25" t="s">
        <v>1268</v>
      </c>
      <c r="D32" s="26"/>
      <c r="E32" s="25" t="s">
        <v>1268</v>
      </c>
      <c r="F32" s="25" t="s">
        <v>1268</v>
      </c>
      <c r="G32" s="37"/>
      <c r="H32" s="25" t="s">
        <v>1268</v>
      </c>
      <c r="I32" s="2"/>
      <c r="J32" s="2"/>
      <c r="K32" s="2"/>
      <c r="L32" s="2"/>
      <c r="M32" s="2"/>
      <c r="N32" s="2"/>
      <c r="O32" s="2"/>
      <c r="P32" s="2"/>
      <c r="Q32" s="2"/>
      <c r="R32" s="2"/>
      <c r="S32" s="2"/>
      <c r="T32" s="2"/>
      <c r="U32" s="2"/>
      <c r="V32" s="2"/>
      <c r="W32" s="2"/>
      <c r="X32" s="278"/>
    </row>
    <row r="33">
      <c r="A33" s="176" t="n">
        <v>44044.0</v>
      </c>
      <c r="B33" s="1" t="s">
        <v>100</v>
      </c>
      <c r="C33" s="25" t="s">
        <v>1268</v>
      </c>
      <c r="D33" s="26"/>
      <c r="E33" s="26" t="s">
        <v>1269</v>
      </c>
      <c r="F33" s="37" t="s">
        <v>1269</v>
      </c>
      <c r="G33" s="2"/>
      <c r="H33" s="25" t="s">
        <v>1268</v>
      </c>
      <c r="I33" s="2"/>
      <c r="J33" s="2"/>
      <c r="K33" s="2"/>
      <c r="L33" s="2"/>
      <c r="M33" s="2"/>
      <c r="N33" s="2"/>
      <c r="O33" s="2"/>
      <c r="P33" s="2"/>
      <c r="Q33" s="2"/>
      <c r="R33" s="2"/>
      <c r="S33" s="2"/>
      <c r="T33" s="2"/>
      <c r="U33" s="2"/>
      <c r="V33" s="2"/>
      <c r="W33" s="2"/>
      <c r="X33" s="278"/>
    </row>
    <row r="34">
      <c r="A34" s="185" t="n">
        <v>44045.0</v>
      </c>
      <c r="B34" s="186" t="s">
        <v>101</v>
      </c>
      <c r="C34" s="260" t="s">
        <v>1269</v>
      </c>
      <c r="D34" s="260"/>
      <c r="E34" s="279" t="s">
        <v>1268</v>
      </c>
      <c r="F34" s="280"/>
      <c r="G34" s="280"/>
      <c r="H34" s="279" t="s">
        <v>1268</v>
      </c>
      <c r="I34" s="280"/>
      <c r="J34" s="280"/>
      <c r="K34" s="280"/>
      <c r="L34" s="280"/>
      <c r="M34" s="280"/>
      <c r="N34" s="280"/>
      <c r="O34" s="280"/>
      <c r="P34" s="280"/>
      <c r="Q34" s="280"/>
      <c r="R34" s="280"/>
      <c r="S34" s="280"/>
      <c r="T34" s="280"/>
      <c r="U34" s="280"/>
      <c r="V34" s="280"/>
      <c r="W34" s="280"/>
      <c r="X34" s="281"/>
    </row>
    <row r="35">
      <c r="C35" s="18" t="s">
        <v>114</v>
      </c>
      <c r="D35" s="29" t="s">
        <v>115</v>
      </c>
      <c r="E35" s="18" t="s">
        <v>114</v>
      </c>
      <c r="F35" s="18" t="s">
        <v>114</v>
      </c>
      <c r="G35" s="29" t="s">
        <v>115</v>
      </c>
      <c r="H35" s="18" t="s">
        <v>114</v>
      </c>
    </row>
    <row r="36">
      <c r="A36" s="2" t="s">
        <v>198</v>
      </c>
      <c r="C36" s="22" t="n">
        <v>2.0</v>
      </c>
      <c r="D36" s="22" t="n">
        <v>-1.0</v>
      </c>
      <c r="E36" s="22" t="n">
        <v>2.0</v>
      </c>
      <c r="F36" s="22" t="n">
        <v>2.0</v>
      </c>
      <c r="G36" s="22" t="n">
        <v>-1.0</v>
      </c>
      <c r="H36" s="22" t="n">
        <v>2.0</v>
      </c>
    </row>
    <row r="37">
</row>
    <row r="38">
      <c r="A38" s="4" t="s">
        <v>0</v>
      </c>
      <c r="B38" s="1" t="s">
        <v>102</v>
      </c>
      <c r="C38" s="39" t="s">
        <v>2</v>
      </c>
      <c r="D38" s="1" t="s">
        <v>3</v>
      </c>
      <c r="E38" s="1" t="s">
        <v>4</v>
      </c>
      <c r="F38" s="7" t="s">
        <v>35</v>
      </c>
      <c r="G38" s="39" t="s">
        <v>117</v>
      </c>
    </row>
    <row r="39" customHeight="1" ht="26.0">
      <c r="A39" s="4"/>
      <c r="B39" s="1" t="s">
        <v>1479</v>
      </c>
      <c r="C39" s="1" t="s">
        <v>1487</v>
      </c>
      <c r="D39" s="5" t="s">
        <v>1489</v>
      </c>
      <c r="E39" s="1" t="s">
        <v>1492</v>
      </c>
      <c r="F39" s="1" t="s">
        <v>1482</v>
      </c>
      <c r="G39" s="1" t="s">
        <v>1493</v>
      </c>
    </row>
    <row r="40">
      <c r="A40" s="17" t="n">
        <v>44039.0</v>
      </c>
      <c r="B40" s="1" t="s">
        <v>90</v>
      </c>
      <c r="C40" s="26" t="s">
        <v>1269</v>
      </c>
      <c r="D40" s="26" t="s">
        <v>1269</v>
      </c>
      <c r="E40" s="26" t="s">
        <v>1269</v>
      </c>
      <c r="F40" s="25" t="s">
        <v>1268</v>
      </c>
      <c r="G40" s="25" t="s">
        <v>1268</v>
      </c>
    </row>
    <row r="41">
      <c r="A41" s="17" t="n">
        <v>44040.0</v>
      </c>
      <c r="B41" s="1" t="s">
        <v>92</v>
      </c>
      <c r="C41" s="25" t="s">
        <v>1268</v>
      </c>
      <c r="D41" s="25" t="s">
        <v>1268</v>
      </c>
      <c r="E41" s="26" t="s">
        <v>1269</v>
      </c>
      <c r="F41" s="25" t="s">
        <v>1268</v>
      </c>
      <c r="G41" s="26" t="s">
        <v>1269</v>
      </c>
    </row>
    <row r="42">
      <c r="A42" s="17" t="n">
        <v>44041.0</v>
      </c>
      <c r="B42" s="1" t="s">
        <v>94</v>
      </c>
      <c r="C42" s="25" t="s">
        <v>1268</v>
      </c>
      <c r="D42" s="26" t="s">
        <v>1269</v>
      </c>
      <c r="E42" s="25" t="s">
        <v>1268</v>
      </c>
      <c r="F42" s="26" t="s">
        <v>1269</v>
      </c>
      <c r="G42" s="25" t="s">
        <v>1268</v>
      </c>
    </row>
    <row r="43">
      <c r="A43" s="17" t="n">
        <v>44042.0</v>
      </c>
      <c r="B43" s="1" t="s">
        <v>96</v>
      </c>
      <c r="C43" s="25" t="s">
        <v>1268</v>
      </c>
      <c r="D43" s="26" t="s">
        <v>1269</v>
      </c>
      <c r="E43" s="25" t="s">
        <v>1268</v>
      </c>
      <c r="F43" s="25" t="s">
        <v>1268</v>
      </c>
      <c r="G43" s="25" t="s">
        <v>1268</v>
      </c>
    </row>
    <row r="44">
      <c r="A44" s="17" t="n">
        <v>44043.0</v>
      </c>
      <c r="B44" s="1" t="s">
        <v>98</v>
      </c>
      <c r="C44" s="25" t="s">
        <v>1268</v>
      </c>
      <c r="D44" s="26" t="s">
        <v>1269</v>
      </c>
      <c r="E44" s="25" t="s">
        <v>1268</v>
      </c>
      <c r="F44" s="25" t="s">
        <v>1268</v>
      </c>
      <c r="G44" s="26" t="s">
        <v>1269</v>
      </c>
    </row>
    <row r="45">
      <c r="A45" s="17" t="n">
        <v>44044.0</v>
      </c>
      <c r="B45" s="1" t="s">
        <v>100</v>
      </c>
      <c r="C45" s="25" t="s">
        <v>1268</v>
      </c>
      <c r="D45" s="25" t="s">
        <v>1268</v>
      </c>
      <c r="E45" s="25" t="s">
        <v>1268</v>
      </c>
      <c r="F45" s="25" t="s">
        <v>1268</v>
      </c>
      <c r="G45" s="25" t="s">
        <v>1268</v>
      </c>
    </row>
    <row r="46">
      <c r="A46" s="17" t="n">
        <v>44045.0</v>
      </c>
      <c r="B46" s="1" t="s">
        <v>101</v>
      </c>
      <c r="C46" s="25" t="s">
        <v>1268</v>
      </c>
      <c r="D46" s="26" t="s">
        <v>1269</v>
      </c>
      <c r="E46" s="25" t="s">
        <v>1268</v>
      </c>
      <c r="F46" s="25" t="s">
        <v>1268</v>
      </c>
      <c r="G46" s="26" t="s">
        <v>1269</v>
      </c>
    </row>
    <row r="47">
      <c r="C47" s="18" t="s">
        <v>114</v>
      </c>
      <c r="D47" s="29" t="s">
        <v>115</v>
      </c>
      <c r="E47" s="18" t="s">
        <v>114</v>
      </c>
      <c r="F47" s="18" t="s">
        <v>114</v>
      </c>
      <c r="G47" s="18" t="s">
        <v>114</v>
      </c>
    </row>
    <row r="48">
      <c r="A48" s="2" t="s">
        <v>198</v>
      </c>
      <c r="C48" s="22" t="n">
        <v>2.0</v>
      </c>
      <c r="D48" s="22" t="n">
        <v>-0.2</v>
      </c>
      <c r="E48" s="22" t="n">
        <v>2.0</v>
      </c>
      <c r="F48" s="22" t="n">
        <v>2.0</v>
      </c>
      <c r="G48" s="22" t="n">
        <v>2.0</v>
      </c>
    </row>
    <row r="49">
</row>
    <row r="50">
</row>
    <row r="51">
      <c r="A51" s="4" t="s">
        <v>0</v>
      </c>
      <c r="B51" s="1" t="s">
        <v>102</v>
      </c>
      <c r="C51" s="39" t="s">
        <v>2</v>
      </c>
      <c r="D51" s="1" t="s">
        <v>4</v>
      </c>
      <c r="E51" s="1" t="s">
        <v>32</v>
      </c>
      <c r="F51" s="7" t="s">
        <v>3</v>
      </c>
      <c r="G51" s="7" t="s">
        <v>35</v>
      </c>
      <c r="H51" s="1" t="s">
        <v>103</v>
      </c>
    </row>
    <row r="52" customHeight="1" ht="26.0">
      <c r="A52" s="4"/>
      <c r="B52" s="1" t="s">
        <v>1479</v>
      </c>
      <c r="C52" s="1" t="s">
        <v>1494</v>
      </c>
      <c r="D52" s="5" t="s">
        <v>1495</v>
      </c>
      <c r="E52" s="1" t="s">
        <v>1496</v>
      </c>
      <c r="F52" s="1" t="s">
        <v>1497</v>
      </c>
      <c r="G52" s="1" t="s">
        <v>1482</v>
      </c>
      <c r="H52" s="5" t="s">
        <v>1498</v>
      </c>
    </row>
    <row r="53">
      <c r="A53" s="3" t="n">
        <v>44053.0</v>
      </c>
      <c r="B53" s="1" t="s">
        <v>90</v>
      </c>
      <c r="C53" s="26" t="s">
        <v>1269</v>
      </c>
      <c r="D53" s="1" t="s">
        <v>1269</v>
      </c>
      <c r="E53" s="1" t="s">
        <v>1268</v>
      </c>
      <c r="F53" s="25" t="s">
        <v>1268</v>
      </c>
      <c r="G53" s="25" t="s">
        <v>1268</v>
      </c>
      <c r="H53" s="1" t="s">
        <v>1269</v>
      </c>
    </row>
    <row r="54">
      <c r="A54" s="3" t="n">
        <v>44054.0</v>
      </c>
      <c r="B54" s="1" t="s">
        <v>92</v>
      </c>
      <c r="C54" s="26" t="s">
        <v>1269</v>
      </c>
      <c r="D54" s="1" t="s">
        <v>1269</v>
      </c>
      <c r="E54" s="1" t="s">
        <v>1268</v>
      </c>
      <c r="F54" s="26" t="s">
        <v>1269</v>
      </c>
      <c r="G54" s="25" t="s">
        <v>1268</v>
      </c>
      <c r="H54" s="1" t="s">
        <v>1269</v>
      </c>
    </row>
    <row r="55">
      <c r="A55" s="3" t="n">
        <v>44055.0</v>
      </c>
      <c r="B55" s="1" t="s">
        <v>94</v>
      </c>
      <c r="C55" s="25" t="s">
        <v>1268</v>
      </c>
      <c r="D55" s="1" t="s">
        <v>1268</v>
      </c>
      <c r="E55" s="1"/>
      <c r="F55" s="25" t="s">
        <v>1268</v>
      </c>
      <c r="G55" s="25" t="s">
        <v>1268</v>
      </c>
      <c r="H55" s="1" t="s">
        <v>1269</v>
      </c>
    </row>
    <row r="56">
      <c r="A56" s="3" t="n">
        <v>44056.0</v>
      </c>
      <c r="B56" s="1" t="s">
        <v>96</v>
      </c>
      <c r="C56" s="282" t="s">
        <v>1268</v>
      </c>
      <c r="D56" s="1" t="s">
        <v>1269</v>
      </c>
      <c r="E56" s="1"/>
      <c r="F56" s="26" t="s">
        <v>1269</v>
      </c>
      <c r="G56" s="25" t="s">
        <v>1268</v>
      </c>
      <c r="H56" s="1" t="s">
        <v>1268</v>
      </c>
    </row>
    <row r="57">
      <c r="A57" s="3" t="n">
        <v>44057.0</v>
      </c>
      <c r="B57" s="1" t="s">
        <v>98</v>
      </c>
      <c r="C57" s="1" t="s">
        <v>1268</v>
      </c>
      <c r="D57" s="1" t="s">
        <v>1269</v>
      </c>
      <c r="E57" s="1"/>
      <c r="F57" s="26" t="s">
        <v>1269</v>
      </c>
      <c r="G57" s="26" t="s">
        <v>1269</v>
      </c>
      <c r="H57" s="1" t="s">
        <v>1268</v>
      </c>
    </row>
    <row r="58">
      <c r="A58" s="3" t="n">
        <v>44058.0</v>
      </c>
      <c r="B58" s="1" t="s">
        <v>100</v>
      </c>
      <c r="C58" s="1" t="s">
        <v>1268</v>
      </c>
      <c r="D58" s="1" t="s">
        <v>1269</v>
      </c>
      <c r="E58" s="1"/>
      <c r="F58" s="26" t="s">
        <v>1269</v>
      </c>
      <c r="G58" s="26" t="s">
        <v>1269</v>
      </c>
      <c r="H58" s="1" t="s">
        <v>1269</v>
      </c>
    </row>
    <row r="59">
      <c r="A59" s="3" t="n">
        <v>44059.0</v>
      </c>
      <c r="B59" s="1" t="s">
        <v>101</v>
      </c>
      <c r="C59" s="1" t="s">
        <v>1268</v>
      </c>
      <c r="D59" s="1"/>
      <c r="E59" s="1"/>
      <c r="F59" s="25" t="s">
        <v>1268</v>
      </c>
      <c r="G59" s="26" t="s">
        <v>1269</v>
      </c>
      <c r="H59" s="1" t="s">
        <v>1269</v>
      </c>
    </row>
    <row r="60">
</row>
    <row r="61">
</row>
    <row r="62">
      <c r="A62" s="4" t="s">
        <v>0</v>
      </c>
      <c r="B62" s="1" t="s">
        <v>102</v>
      </c>
      <c r="C62" s="39" t="s">
        <v>2</v>
      </c>
      <c r="D62" s="1" t="s">
        <v>3</v>
      </c>
      <c r="E62" s="1"/>
      <c r="F62" s="7" t="s">
        <v>35</v>
      </c>
      <c r="G62" s="7" t="s">
        <v>103</v>
      </c>
    </row>
    <row r="63" customHeight="1" ht="26.0">
      <c r="A63" s="4"/>
      <c r="B63" s="1" t="s">
        <v>1479</v>
      </c>
      <c r="C63" s="1" t="s">
        <v>1480</v>
      </c>
      <c r="D63" s="5" t="s">
        <v>1497</v>
      </c>
      <c r="E63" s="1"/>
      <c r="F63" s="1" t="s">
        <v>1482</v>
      </c>
      <c r="G63" s="1" t="s">
        <v>1499</v>
      </c>
    </row>
    <row r="64">
      <c r="A64" s="3" t="n">
        <v>44060.0</v>
      </c>
      <c r="B64" s="5" t="s">
        <v>90</v>
      </c>
      <c r="C64" s="25" t="s">
        <v>1268</v>
      </c>
      <c r="D64" s="26" t="s">
        <v>1269</v>
      </c>
      <c r="E64" s="1"/>
      <c r="F64" s="260" t="s">
        <v>1269</v>
      </c>
      <c r="G64" s="25" t="s">
        <v>1268</v>
      </c>
    </row>
    <row r="65">
      <c r="A65" s="3" t="n">
        <v>44061.0</v>
      </c>
      <c r="B65" s="5" t="s">
        <v>92</v>
      </c>
      <c r="C65" s="25" t="s">
        <v>1268</v>
      </c>
      <c r="D65" s="25" t="s">
        <v>1268</v>
      </c>
      <c r="E65" s="1"/>
      <c r="F65" s="260" t="s">
        <v>1269</v>
      </c>
      <c r="G65" s="26" t="s">
        <v>1269</v>
      </c>
    </row>
    <row r="66">
      <c r="A66" s="3" t="n">
        <v>44062.0</v>
      </c>
      <c r="B66" s="5" t="s">
        <v>94</v>
      </c>
      <c r="C66" s="25" t="s">
        <v>1268</v>
      </c>
      <c r="D66" s="26" t="s">
        <v>1269</v>
      </c>
      <c r="E66" s="1"/>
      <c r="F66" s="25" t="s">
        <v>1268</v>
      </c>
      <c r="G66" s="26" t="s">
        <v>1269</v>
      </c>
    </row>
    <row r="67">
      <c r="A67" s="3" t="n">
        <v>44063.0</v>
      </c>
      <c r="B67" s="5" t="s">
        <v>96</v>
      </c>
      <c r="C67" s="25" t="s">
        <v>1268</v>
      </c>
      <c r="D67" s="25" t="s">
        <v>1268</v>
      </c>
      <c r="E67" s="1"/>
      <c r="F67" s="25" t="s">
        <v>1268</v>
      </c>
      <c r="G67" s="26" t="s">
        <v>1269</v>
      </c>
    </row>
    <row r="68">
      <c r="A68" s="3" t="n">
        <v>44064.0</v>
      </c>
      <c r="B68" s="5" t="s">
        <v>98</v>
      </c>
      <c r="C68" s="26" t="s">
        <v>1269</v>
      </c>
      <c r="D68" s="26" t="s">
        <v>1269</v>
      </c>
      <c r="E68" s="1"/>
      <c r="F68" s="25" t="s">
        <v>1268</v>
      </c>
      <c r="G68" s="26" t="s">
        <v>1269</v>
      </c>
    </row>
    <row r="69">
      <c r="A69" s="3" t="n">
        <v>44065.0</v>
      </c>
      <c r="B69" s="5" t="s">
        <v>100</v>
      </c>
      <c r="C69" s="25" t="s">
        <v>1268</v>
      </c>
      <c r="D69" s="26" t="s">
        <v>1269</v>
      </c>
      <c r="E69" s="1"/>
      <c r="F69" s="25" t="s">
        <v>1268</v>
      </c>
      <c r="G69" s="26" t="s">
        <v>1269</v>
      </c>
    </row>
    <row r="70">
      <c r="A70" s="3" t="n">
        <v>44066.0</v>
      </c>
      <c r="B70" s="5" t="s">
        <v>101</v>
      </c>
      <c r="C70" s="1"/>
      <c r="D70" s="25" t="s">
        <v>1268</v>
      </c>
      <c r="E70" s="1"/>
      <c r="F70" s="25" t="s">
        <v>1268</v>
      </c>
      <c r="G70" s="1"/>
    </row>
    <row r="71">
</row>
    <row r="72">
</row>
    <row r="73">
</row>
    <row r="74">
</row>
    <row r="75">
</row>
    <row r="76">
</row>
    <row r="77">
</row>
    <row r="78">
</row>
    <row r="79">
</row>
    <row r="80">
</row>
    <row r="81">
</row>
    <row r="82">
</row>
    <row r="83">
</row>
    <row r="84">
</row>
    <row r="85">
</row>
    <row r="86">
</row>
    <row r="87">
</row>
    <row r="88">
</row>
    <row r="89">
</row>
    <row r="90">
</row>
    <row r="91">
</row>
    <row r="92">
</row>
    <row r="93">
</row>
    <row r="94">
</row>
    <row r="95">
</row>
    <row r="96">
</row>
    <row r="97">
</row>
    <row r="98">
</row>
    <row r="99">
</row>
    <row r="100">
</row>
    <row r="101">
</row>
    <row r="102">
</row>
    <row r="103">
</row>
    <row r="104">
</row>
    <row r="105">
</row>
    <row r="106">
</row>
    <row r="107">
</row>
    <row r="108">
</row>
    <row r="109">
</row>
    <row r="110">
</row>
    <row r="111">
</row>
    <row r="112">
</row>
    <row r="113">
</row>
    <row r="114">
</row>
    <row r="115">
</row>
    <row r="116">
</row>
    <row r="117">
</row>
    <row r="118">
</row>
    <row r="119">
</row>
    <row r="120">
</row>
    <row r="121">
</row>
    <row r="122">
</row>
    <row r="123">
</row>
    <row r="124">
</row>
    <row r="125">
</row>
    <row r="126">
</row>
    <row r="127">
</row>
    <row r="128">
</row>
    <row r="129">
</row>
    <row r="130">
</row>
    <row r="131">
</row>
    <row r="132">
</row>
    <row r="133">
</row>
    <row r="134">
</row>
    <row r="135">
</row>
    <row r="136">
</row>
    <row r="137">
</row>
    <row r="138">
</row>
    <row r="139">
</row>
    <row r="140">
</row>
    <row r="141">
</row>
    <row r="142">
</row>
    <row r="143">
</row>
    <row r="144">
</row>
    <row r="145">
</row>
    <row r="146">
</row>
    <row r="147">
</row>
    <row r="148">
</row>
    <row r="149">
</row>
    <row r="150">
</row>
    <row r="151">
</row>
    <row r="152">
</row>
    <row r="153">
</row>
    <row r="154">
</row>
    <row r="155">
</row>
    <row r="156">
</row>
    <row r="157">
</row>
    <row r="158">
</row>
    <row r="159">
</row>
    <row r="160">
</row>
    <row r="161">
</row>
    <row r="162">
</row>
    <row r="163">
</row>
    <row r="164">
</row>
    <row r="165">
</row>
    <row r="166">
</row>
    <row r="167">
</row>
    <row r="168">
</row>
    <row r="169">
</row>
    <row r="170">
</row>
    <row r="171">
</row>
    <row r="172">
</row>
    <row r="173">
</row>
    <row r="174">
</row>
    <row r="175">
</row>
    <row r="176">
</row>
    <row r="177">
</row>
    <row r="178">
</row>
    <row r="179">
</row>
    <row r="180">
</row>
    <row r="181">
</row>
    <row r="182">
</row>
    <row r="183">
</row>
    <row r="184">
</row>
    <row r="185">
</row>
    <row r="186">
</row>
    <row r="187">
</row>
    <row r="188">
</row>
    <row r="189">
</row>
    <row r="190">
</row>
    <row r="191">
</row>
    <row r="192">
</row>
    <row r="193">
</row>
    <row r="194">
</row>
    <row r="195">
</row>
    <row r="196">
</row>
    <row r="197">
</row>
    <row r="198">
</row>
    <row r="199">
</row>
    <row r="200">
</row>
    <row r="201">
</row>
    <row r="202">
</row>
    <row r="203">
</row>
    <row r="204">
</row>
    <row r="205">
</row>
    <row r="206">
</row>
    <row r="207">
</row>
    <row r="208">
</row>
    <row r="209">
</row>
    <row r="210">
</row>
    <row r="211">
</row>
    <row r="212">
</row>
    <row r="213">
</row>
    <row r="214">
</row>
    <row r="215">
</row>
    <row r="216">
</row>
  </sheetData>
  <mergeCells>
    <mergeCell ref="A13:C13"/>
    <mergeCell ref="A16:X16"/>
  </mergeCells>
  <pageMargins bottom="0.75" footer="0.3" header="0.3" left="0.7" right="0.7" top="0.75"/>
</worksheet>
</file>

<file path=xl/worksheets/sheet8.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6.0" baseColWidth="10"/>
  <cols>
    <col min="1" max="1" width="10.833333333333334" customWidth="true"/>
    <col min="2" max="2" width="10.833333333333334" customWidth="true"/>
    <col min="3" max="3" width="10.833333333333334" customWidth="true"/>
    <col min="4" max="4" width="10.833333333333334" customWidth="true"/>
    <col min="5" max="5" width="10.833333333333334" customWidth="true"/>
    <col min="6" max="6" width="10.833333333333334" customWidth="true"/>
    <col min="7" max="7" width="10.833333333333334" customWidth="true"/>
    <col min="8" max="8" width="10.833333333333334" customWidth="true"/>
    <col min="9" max="9" width="10.833333333333334" customWidth="true"/>
    <col min="10" max="10" width="10.833333333333334" customWidth="true"/>
    <col min="11" max="11" width="10.833333333333334" customWidth="true"/>
    <col min="12" max="12" width="10.833333333333334" customWidth="true"/>
    <col min="13" max="13" width="10.833333333333334" customWidth="true"/>
    <col min="14" max="14" width="10.833333333333334" customWidth="true"/>
    <col min="15" max="15" width="10.833333333333334" customWidth="true"/>
    <col min="16" max="16" width="10.833333333333334" customWidth="true"/>
    <col min="17" max="17" width="10.833333333333334" customWidth="true"/>
    <col min="18" max="18" width="10.833333333333334" customWidth="true"/>
  </cols>
  <sheetData>
    <row r="1" customHeight="1" ht="39.0">
      <c r="A1" s="2" t="s">
        <v>102</v>
      </c>
      <c r="B1" s="2" t="s">
        <v>1500</v>
      </c>
      <c r="C1" s="2" t="s">
        <v>1501</v>
      </c>
      <c r="D1" s="2" t="s">
        <v>1502</v>
      </c>
      <c r="E1" s="2" t="s">
        <v>1503</v>
      </c>
      <c r="F1" s="2" t="s">
        <v>1504</v>
      </c>
      <c r="G1" s="15" t="s">
        <v>1505</v>
      </c>
      <c r="H1" s="2" t="s">
        <v>1506</v>
      </c>
      <c r="I1" s="2" t="s">
        <v>1507</v>
      </c>
      <c r="J1" s="2" t="s">
        <v>1508</v>
      </c>
      <c r="K1" s="31"/>
      <c r="L1" s="274" t="s">
        <v>1509</v>
      </c>
      <c r="M1" s="66" t="s">
        <v>1510</v>
      </c>
      <c r="N1" s="66"/>
      <c r="O1" s="66"/>
      <c r="P1" s="276" t="s">
        <v>1511</v>
      </c>
      <c r="Q1" s="2"/>
    </row>
    <row r="2">
      <c r="A2" s="2" t="s">
        <v>3</v>
      </c>
      <c r="B2" s="22">
        <f>2+2+4+4+2+2</f>
      </c>
      <c r="C2" s="22">
        <f>2+4+4+4+2+2</f>
      </c>
      <c r="D2" s="2"/>
      <c r="E2" s="2"/>
      <c r="F2" s="2"/>
      <c r="G2" s="21">
        <f>1+1</f>
      </c>
      <c r="H2" s="2"/>
      <c r="I2" s="2"/>
      <c r="J2" s="283">
        <f>SUM(B2:I2)</f>
      </c>
      <c r="K2" s="31"/>
      <c r="L2" s="284" t="n">
        <v>1.0</v>
      </c>
      <c r="M2" s="1" t="s">
        <v>3</v>
      </c>
      <c r="N2" s="2"/>
      <c r="O2" s="2"/>
      <c r="P2" s="285" t="n">
        <v>36.0</v>
      </c>
      <c r="Q2" s="2"/>
      <c r="R2" s="2"/>
    </row>
    <row r="3">
      <c r="A3" s="2" t="s">
        <v>36</v>
      </c>
      <c r="B3" s="2"/>
      <c r="C3" s="22">
        <f>-0.6+4+0.2-0.6</f>
      </c>
      <c r="D3" s="2"/>
      <c r="E3" s="2"/>
      <c r="F3" s="2"/>
      <c r="G3" s="204">
        <f>1</f>
      </c>
      <c r="H3" s="22" t="n">
        <v>26.66</v>
      </c>
      <c r="I3" s="22" t="n">
        <v>5.0</v>
      </c>
      <c r="J3" s="283">
        <f>SUM(B3:I3)</f>
      </c>
      <c r="K3" s="31"/>
      <c r="L3" s="284" t="n">
        <v>2.0</v>
      </c>
      <c r="M3" s="1" t="s">
        <v>36</v>
      </c>
      <c r="N3" s="2"/>
      <c r="O3" s="2"/>
      <c r="P3" s="285" t="n">
        <v>35.66</v>
      </c>
      <c r="Q3" s="2"/>
      <c r="R3" s="2"/>
    </row>
    <row r="4">
      <c r="A4" s="2" t="s">
        <v>4</v>
      </c>
      <c r="B4" s="22">
        <f>-0.6+0.2+4+4+2+2</f>
      </c>
      <c r="C4" s="22">
        <f>2+2+4+4+4+2+2</f>
      </c>
      <c r="D4" s="2"/>
      <c r="E4" s="2"/>
      <c r="F4" s="2"/>
      <c r="G4" s="204">
        <f>1+1+1</f>
      </c>
      <c r="H4" s="2"/>
      <c r="I4" s="2"/>
      <c r="J4" s="283">
        <f>SUM(B4:I4)</f>
      </c>
      <c r="K4" s="1"/>
      <c r="L4" s="286" t="n">
        <v>3.0</v>
      </c>
      <c r="M4" s="1" t="s">
        <v>4</v>
      </c>
      <c r="N4" s="2"/>
      <c r="O4" s="2"/>
      <c r="P4" s="285" t="n">
        <v>34.6</v>
      </c>
      <c r="Q4" s="2"/>
      <c r="R4" s="2"/>
    </row>
    <row r="5">
      <c r="A5" s="1" t="s">
        <v>103</v>
      </c>
      <c r="B5" s="22">
        <f>2+2+4-1+4+2</f>
      </c>
      <c r="C5" s="22">
        <f>2+4-0.6+4+2+2</f>
      </c>
      <c r="D5" s="2"/>
      <c r="E5" s="2"/>
      <c r="F5" s="2"/>
      <c r="G5" s="21">
        <f>1+2+1</f>
      </c>
      <c r="H5" s="2"/>
      <c r="I5" s="2"/>
      <c r="J5" s="283">
        <f>SUM(B5:I5)</f>
      </c>
      <c r="K5" s="1"/>
      <c r="L5" s="286" t="n">
        <v>4.0</v>
      </c>
      <c r="M5" s="1" t="s">
        <v>31</v>
      </c>
      <c r="N5" s="1"/>
      <c r="O5" s="1"/>
      <c r="P5" s="285" t="n">
        <v>31.06</v>
      </c>
      <c r="Q5" s="2"/>
      <c r="R5" s="2"/>
    </row>
    <row r="6">
      <c r="A6" s="1" t="s">
        <v>31</v>
      </c>
      <c r="B6" s="22">
        <f>-0.2-0.6</f>
      </c>
      <c r="C6" s="22">
        <f>0.2+4</f>
      </c>
      <c r="D6" s="2"/>
      <c r="E6" s="2"/>
      <c r="F6" s="2"/>
      <c r="G6" s="204">
        <f>1+2</f>
      </c>
      <c r="H6" s="22" t="n">
        <v>24.66</v>
      </c>
      <c r="I6" s="2"/>
      <c r="J6" s="283">
        <f>SUM(B6:I6)</f>
      </c>
      <c r="K6" s="1"/>
      <c r="L6" s="286" t="n">
        <v>5.0</v>
      </c>
      <c r="M6" s="1" t="s">
        <v>103</v>
      </c>
      <c r="N6" s="1"/>
      <c r="O6" s="1"/>
      <c r="P6" s="285" t="n">
        <v>30.4</v>
      </c>
      <c r="Q6" s="2"/>
      <c r="R6" s="2"/>
    </row>
    <row r="7">
      <c r="A7" s="287" t="s">
        <v>1512</v>
      </c>
      <c r="B7" s="2"/>
      <c r="C7" s="2"/>
      <c r="D7" s="2"/>
      <c r="E7" s="2"/>
      <c r="F7" s="2"/>
      <c r="G7" s="204">
        <f>1+1+2</f>
      </c>
      <c r="H7" s="283" t="n">
        <v>24.67</v>
      </c>
      <c r="I7" s="1"/>
      <c r="J7" s="283">
        <f>SUM(B7:I7)</f>
      </c>
      <c r="K7" s="1"/>
      <c r="L7" s="286" t="n">
        <v>6.0</v>
      </c>
      <c r="M7" s="287" t="s">
        <v>1512</v>
      </c>
      <c r="N7" s="2"/>
      <c r="O7" s="2"/>
      <c r="P7" s="285" t="n">
        <v>28.67</v>
      </c>
      <c r="Q7" s="2"/>
      <c r="R7" s="2"/>
    </row>
    <row r="8">
      <c r="A8" s="288" t="s">
        <v>1513</v>
      </c>
      <c r="B8" s="2"/>
      <c r="C8" s="2"/>
      <c r="D8" s="2"/>
      <c r="E8" s="2"/>
      <c r="F8" s="2"/>
      <c r="G8" s="21">
        <f>1+1</f>
      </c>
      <c r="H8" s="283" t="n">
        <v>24.66</v>
      </c>
      <c r="I8" s="2"/>
      <c r="J8" s="283">
        <f>SUM(B8:I8)</f>
      </c>
      <c r="K8" s="1"/>
      <c r="L8" s="286" t="n">
        <v>7.0</v>
      </c>
      <c r="M8" s="287" t="s">
        <v>1513</v>
      </c>
      <c r="N8" s="2"/>
      <c r="O8" s="2"/>
      <c r="P8" s="285" t="n">
        <v>26.66</v>
      </c>
      <c r="Q8" s="2"/>
      <c r="R8" s="2"/>
    </row>
    <row r="9">
      <c r="A9" s="2" t="s">
        <v>1514</v>
      </c>
      <c r="B9" s="2"/>
      <c r="C9" s="2"/>
      <c r="D9" s="2"/>
      <c r="E9" s="2"/>
      <c r="F9" s="2"/>
      <c r="G9" s="21">
        <f>1</f>
      </c>
      <c r="H9" s="22" t="n">
        <v>24.67</v>
      </c>
      <c r="I9" s="2"/>
      <c r="J9" s="283">
        <f>SUM(B9:I9)</f>
      </c>
      <c r="K9" s="1"/>
      <c r="L9" s="286" t="n">
        <v>8.0</v>
      </c>
      <c r="M9" s="1" t="s">
        <v>1514</v>
      </c>
      <c r="N9" s="2"/>
      <c r="O9" s="2"/>
      <c r="P9" s="285" t="n">
        <v>25.67</v>
      </c>
      <c r="Q9" s="2"/>
      <c r="R9" s="2"/>
    </row>
    <row r="10">
      <c r="A10" s="2" t="s">
        <v>34</v>
      </c>
      <c r="B10" s="22">
        <f>-1-1-0.6-1-1-0.8-1</f>
      </c>
      <c r="C10" s="2"/>
      <c r="D10" s="2"/>
      <c r="E10" s="2"/>
      <c r="F10" s="2"/>
      <c r="G10" s="204">
        <f>1+1</f>
      </c>
      <c r="H10" s="22" t="n">
        <v>24.66</v>
      </c>
      <c r="I10" s="2"/>
      <c r="J10" s="283">
        <f>SUM(B10:I10)</f>
      </c>
      <c r="K10" s="1"/>
      <c r="L10" s="286" t="n">
        <v>9.0</v>
      </c>
      <c r="M10" s="1" t="s">
        <v>34</v>
      </c>
      <c r="N10" s="2"/>
      <c r="O10" s="2"/>
      <c r="P10" s="285" t="n">
        <v>20.26</v>
      </c>
      <c r="Q10" s="2"/>
      <c r="R10" s="2"/>
    </row>
    <row r="11">
      <c r="A11" s="287" t="s">
        <v>355</v>
      </c>
      <c r="B11" s="2"/>
      <c r="C11" s="22">
        <f>-0.2+4</f>
      </c>
      <c r="D11" s="1"/>
      <c r="E11" s="2"/>
      <c r="F11" s="2"/>
      <c r="G11" s="204">
        <f>1+4+1</f>
      </c>
      <c r="H11" s="2"/>
      <c r="I11" s="2"/>
      <c r="J11" s="283">
        <f>SUM(B11:I11)</f>
      </c>
      <c r="K11" s="1"/>
      <c r="L11" s="286" t="n">
        <v>10.0</v>
      </c>
      <c r="M11" s="287" t="s">
        <v>355</v>
      </c>
      <c r="N11" s="2"/>
      <c r="O11" s="2"/>
      <c r="P11" s="285" t="n">
        <v>9.8</v>
      </c>
      <c r="Q11" s="2"/>
      <c r="R11" s="2"/>
    </row>
    <row r="12">
      <c r="A12" s="1" t="s">
        <v>32</v>
      </c>
      <c r="B12" s="22">
        <f>2-0.2</f>
      </c>
      <c r="C12" s="22">
        <f>-0.2+2+2</f>
      </c>
      <c r="D12" s="2"/>
      <c r="E12" s="2"/>
      <c r="F12" s="2"/>
      <c r="G12" s="21">
        <f>1+1</f>
      </c>
      <c r="H12" s="2"/>
      <c r="I12" s="2"/>
      <c r="J12" s="283">
        <f>SUM(B12:I12)</f>
      </c>
      <c r="K12" s="1"/>
      <c r="L12" s="286" t="n">
        <v>11.0</v>
      </c>
      <c r="M12" s="1" t="s">
        <v>32</v>
      </c>
      <c r="N12" s="2"/>
      <c r="O12" s="1"/>
      <c r="P12" s="285" t="n">
        <v>7.6</v>
      </c>
      <c r="Q12" s="2"/>
      <c r="R12" s="2"/>
    </row>
    <row r="13">
      <c r="A13" s="1" t="s">
        <v>230</v>
      </c>
      <c r="B13" s="22">
        <f>4-0.2</f>
      </c>
      <c r="C13" s="22">
        <f>0.2</f>
      </c>
      <c r="D13" s="2"/>
      <c r="E13" s="2"/>
      <c r="F13" s="2"/>
      <c r="G13" s="204">
        <f>1+1</f>
      </c>
      <c r="H13" s="2"/>
      <c r="I13" s="2"/>
      <c r="J13" s="283">
        <f>SUM(B13:I13)</f>
      </c>
      <c r="K13" s="1"/>
      <c r="L13" s="286" t="n">
        <v>12.0</v>
      </c>
      <c r="M13" s="1" t="s">
        <v>230</v>
      </c>
      <c r="N13" s="2"/>
      <c r="O13" s="1"/>
      <c r="P13" s="285" t="n">
        <v>6.0</v>
      </c>
      <c r="Q13" s="2"/>
      <c r="R13" s="2"/>
    </row>
    <row r="14">
      <c r="A14" s="287" t="s">
        <v>567</v>
      </c>
      <c r="B14" s="2"/>
      <c r="C14" s="22">
        <f>4</f>
      </c>
      <c r="D14" s="2"/>
      <c r="E14" s="2"/>
      <c r="F14" s="2"/>
      <c r="G14" s="21">
        <f>1+1</f>
      </c>
      <c r="H14" s="2"/>
      <c r="I14" s="2"/>
      <c r="J14" s="283">
        <f>SUM(B14:I14)</f>
      </c>
      <c r="K14" s="1"/>
      <c r="L14" s="286" t="n">
        <v>13.0</v>
      </c>
      <c r="M14" s="287" t="s">
        <v>567</v>
      </c>
      <c r="N14" s="2"/>
      <c r="O14" s="1"/>
      <c r="P14" s="285" t="n">
        <v>6.0</v>
      </c>
      <c r="Q14" s="2"/>
      <c r="R14" s="2"/>
    </row>
    <row r="15">
      <c r="A15" s="1" t="s">
        <v>35</v>
      </c>
      <c r="B15" s="22">
        <f>-1+2+2</f>
      </c>
      <c r="C15" s="22">
        <f>2-1-0.6</f>
      </c>
      <c r="D15" s="2"/>
      <c r="E15" s="2"/>
      <c r="F15" s="2"/>
      <c r="G15" s="204">
        <f>1+1</f>
      </c>
      <c r="H15" s="2"/>
      <c r="I15" s="2"/>
      <c r="J15" s="283">
        <f>SUM(B15:I15)</f>
      </c>
      <c r="K15" s="1"/>
      <c r="L15" s="286" t="n">
        <v>14.0</v>
      </c>
      <c r="M15" s="1" t="s">
        <v>35</v>
      </c>
      <c r="N15" s="2"/>
      <c r="O15" s="1"/>
      <c r="P15" s="285" t="n">
        <v>5.4</v>
      </c>
      <c r="Q15" s="2"/>
      <c r="R15" s="2"/>
    </row>
    <row r="16">
      <c r="A16" s="287" t="s">
        <v>1515</v>
      </c>
      <c r="B16" s="2"/>
      <c r="C16" s="2"/>
      <c r="D16" s="2"/>
      <c r="E16" s="2"/>
      <c r="F16" s="2"/>
      <c r="G16" s="204">
        <f>1+4</f>
      </c>
      <c r="H16" s="2"/>
      <c r="I16" s="2"/>
      <c r="J16" s="283">
        <f>SUM(B16:I16)</f>
      </c>
      <c r="K16" s="1"/>
      <c r="L16" s="286" t="n">
        <v>15.0</v>
      </c>
      <c r="M16" s="287" t="s">
        <v>1515</v>
      </c>
      <c r="N16" s="2"/>
      <c r="O16" s="1"/>
      <c r="P16" s="285" t="n">
        <v>5.0</v>
      </c>
      <c r="Q16" s="2"/>
      <c r="R16" s="2"/>
    </row>
    <row r="17">
      <c r="A17" s="287" t="s">
        <v>566</v>
      </c>
      <c r="B17" s="2"/>
      <c r="C17" s="22">
        <f>4</f>
      </c>
      <c r="D17" s="2"/>
      <c r="E17" s="2"/>
      <c r="F17" s="2"/>
      <c r="G17" s="204">
        <f>1</f>
      </c>
      <c r="H17" s="2"/>
      <c r="I17" s="2"/>
      <c r="J17" s="283">
        <f>SUM(B17:I17)</f>
      </c>
      <c r="K17" s="1"/>
      <c r="L17" s="286" t="n">
        <v>16.0</v>
      </c>
      <c r="M17" s="287" t="s">
        <v>566</v>
      </c>
      <c r="N17" s="2"/>
      <c r="O17" s="1"/>
      <c r="P17" s="285" t="n">
        <v>5.0</v>
      </c>
      <c r="Q17" s="2"/>
      <c r="R17" s="2"/>
    </row>
    <row r="18">
      <c r="A18" s="1" t="s">
        <v>228</v>
      </c>
      <c r="B18" s="22" t="n">
        <v>4.0</v>
      </c>
      <c r="C18" s="22" t="n">
        <v>-0.6</v>
      </c>
      <c r="D18" s="2"/>
      <c r="E18" s="2"/>
      <c r="F18" s="2"/>
      <c r="G18" s="15"/>
      <c r="H18" s="2"/>
      <c r="I18" s="1"/>
      <c r="J18" s="283">
        <f>SUM(B18:I18)</f>
      </c>
      <c r="K18" s="1"/>
      <c r="L18" s="286" t="n">
        <v>17.0</v>
      </c>
      <c r="M18" s="1" t="s">
        <v>228</v>
      </c>
      <c r="N18" s="2"/>
      <c r="O18" s="1"/>
      <c r="P18" s="285" t="n">
        <v>3.4</v>
      </c>
      <c r="Q18" s="2"/>
      <c r="R18" s="2"/>
    </row>
    <row r="19">
      <c r="A19" s="287" t="s">
        <v>1516</v>
      </c>
      <c r="B19" s="2"/>
      <c r="C19" s="2"/>
      <c r="D19" s="2"/>
      <c r="E19" s="2"/>
      <c r="F19" s="2"/>
      <c r="G19" s="204">
        <f>1+1</f>
      </c>
      <c r="H19" s="2"/>
      <c r="I19" s="2"/>
      <c r="J19" s="283">
        <f>SUM(B19:I19)</f>
      </c>
      <c r="K19" s="1"/>
      <c r="L19" s="286" t="n">
        <v>18.0</v>
      </c>
      <c r="M19" s="287" t="s">
        <v>1516</v>
      </c>
      <c r="N19" s="2"/>
      <c r="O19" s="2"/>
      <c r="P19" s="285" t="n">
        <v>2.0</v>
      </c>
      <c r="Q19" s="2"/>
      <c r="R19" s="2"/>
    </row>
    <row r="20">
      <c r="A20" s="287" t="s">
        <v>1517</v>
      </c>
      <c r="B20" s="2"/>
      <c r="C20" s="2"/>
      <c r="D20" s="2"/>
      <c r="E20" s="2"/>
      <c r="F20" s="2"/>
      <c r="G20" s="204">
        <f>1</f>
      </c>
      <c r="H20" s="2"/>
      <c r="I20" s="2"/>
      <c r="J20" s="283">
        <f>SUM(B20:I20)</f>
      </c>
      <c r="K20" s="1"/>
      <c r="L20" s="284" t="n">
        <v>19.0</v>
      </c>
      <c r="M20" s="287" t="s">
        <v>1517</v>
      </c>
      <c r="N20" s="287" t="s">
        <v>1518</v>
      </c>
      <c r="O20" s="287" t="s">
        <v>1519</v>
      </c>
      <c r="P20" s="289" t="n">
        <v>1.0</v>
      </c>
      <c r="Q20" s="2"/>
      <c r="R20" s="2"/>
    </row>
    <row r="21">
      <c r="A21" s="287" t="s">
        <v>1520</v>
      </c>
      <c r="B21" s="2"/>
      <c r="C21" s="2"/>
      <c r="D21" s="2"/>
      <c r="E21" s="2"/>
      <c r="F21" s="2"/>
      <c r="G21" s="21">
        <f>1</f>
      </c>
      <c r="H21" s="2"/>
      <c r="I21" s="2"/>
      <c r="J21" s="283">
        <f>SUM(B21:I21)</f>
      </c>
      <c r="K21" s="1"/>
      <c r="L21" s="290"/>
      <c r="M21" s="287" t="s">
        <v>1520</v>
      </c>
      <c r="N21" s="287" t="s">
        <v>1521</v>
      </c>
      <c r="O21" s="287" t="s">
        <v>1522</v>
      </c>
      <c r="P21" s="278"/>
      <c r="Q21" s="2"/>
      <c r="R21" s="2"/>
    </row>
    <row r="22">
      <c r="A22" s="287" t="s">
        <v>1523</v>
      </c>
      <c r="B22" s="2"/>
      <c r="C22" s="2"/>
      <c r="D22" s="2"/>
      <c r="E22" s="2"/>
      <c r="F22" s="2"/>
      <c r="G22" s="204">
        <f>1</f>
      </c>
      <c r="H22" s="2"/>
      <c r="I22" s="2"/>
      <c r="J22" s="283">
        <f>SUM(B22:I22)</f>
      </c>
      <c r="K22" s="1"/>
      <c r="L22" s="290"/>
      <c r="M22" s="287" t="s">
        <v>1523</v>
      </c>
      <c r="N22" s="287" t="s">
        <v>1524</v>
      </c>
      <c r="O22" s="287" t="s">
        <v>1525</v>
      </c>
      <c r="P22" s="278"/>
      <c r="Q22" s="2"/>
      <c r="R22" s="2"/>
    </row>
    <row r="23">
      <c r="A23" s="287" t="s">
        <v>1526</v>
      </c>
      <c r="B23" s="2"/>
      <c r="C23" s="2"/>
      <c r="D23" s="2"/>
      <c r="E23" s="2"/>
      <c r="F23" s="2"/>
      <c r="G23" s="204">
        <f>1</f>
      </c>
      <c r="H23" s="2"/>
      <c r="I23" s="2"/>
      <c r="J23" s="283">
        <f>SUM(B23:I23)</f>
      </c>
      <c r="K23" s="1"/>
      <c r="L23" s="290"/>
      <c r="M23" s="287" t="s">
        <v>1526</v>
      </c>
      <c r="N23" s="287" t="s">
        <v>377</v>
      </c>
      <c r="O23" s="287" t="s">
        <v>1527</v>
      </c>
      <c r="P23" s="278"/>
      <c r="Q23" s="2"/>
      <c r="R23" s="2"/>
    </row>
    <row r="24">
      <c r="A24" s="287" t="s">
        <v>33</v>
      </c>
      <c r="B24" s="2"/>
      <c r="C24" s="2"/>
      <c r="D24" s="2"/>
      <c r="E24" s="2"/>
      <c r="F24" s="2"/>
      <c r="G24" s="204">
        <f>1</f>
      </c>
      <c r="H24" s="2"/>
      <c r="I24" s="2"/>
      <c r="J24" s="283">
        <f>SUM(B24:I24)</f>
      </c>
      <c r="K24" s="1"/>
      <c r="L24" s="290"/>
      <c r="M24" s="287" t="s">
        <v>33</v>
      </c>
      <c r="N24" s="287" t="s">
        <v>1528</v>
      </c>
      <c r="O24" s="287" t="s">
        <v>1529</v>
      </c>
      <c r="P24" s="278"/>
      <c r="Q24" s="2"/>
      <c r="R24" s="2"/>
    </row>
    <row r="25">
      <c r="A25" s="287" t="s">
        <v>1530</v>
      </c>
      <c r="B25" s="2"/>
      <c r="C25" s="2"/>
      <c r="D25" s="2"/>
      <c r="E25" s="2"/>
      <c r="F25" s="2"/>
      <c r="G25" s="204">
        <f>1</f>
      </c>
      <c r="H25" s="2"/>
      <c r="I25" s="2"/>
      <c r="J25" s="283">
        <f>SUM(B25:I25)</f>
      </c>
      <c r="K25" s="1"/>
      <c r="L25" s="290"/>
      <c r="M25" s="287" t="s">
        <v>1530</v>
      </c>
      <c r="N25" s="287" t="s">
        <v>1531</v>
      </c>
      <c r="O25" s="287" t="s">
        <v>1532</v>
      </c>
      <c r="P25" s="278"/>
      <c r="Q25" s="2"/>
      <c r="R25" s="2"/>
    </row>
    <row r="26">
      <c r="A26" s="287" t="s">
        <v>1533</v>
      </c>
      <c r="B26" s="2"/>
      <c r="C26" s="2"/>
      <c r="D26" s="2"/>
      <c r="E26" s="2"/>
      <c r="F26" s="2"/>
      <c r="G26" s="204">
        <f>1</f>
      </c>
      <c r="H26" s="2"/>
      <c r="I26" s="2"/>
      <c r="J26" s="283">
        <f>SUM(B26:I26)</f>
      </c>
      <c r="K26" s="1"/>
      <c r="L26" s="290"/>
      <c r="M26" s="287" t="s">
        <v>1533</v>
      </c>
      <c r="N26" s="287" t="s">
        <v>1534</v>
      </c>
      <c r="O26" s="1" t="s">
        <v>1535</v>
      </c>
      <c r="P26" s="278"/>
      <c r="Q26" s="2"/>
      <c r="R26" s="2"/>
    </row>
    <row r="27">
      <c r="A27" s="287" t="s">
        <v>1536</v>
      </c>
      <c r="B27" s="2"/>
      <c r="C27" s="2"/>
      <c r="D27" s="2"/>
      <c r="E27" s="2"/>
      <c r="F27" s="2"/>
      <c r="G27" s="204">
        <f>1</f>
      </c>
      <c r="H27" s="2"/>
      <c r="I27" s="2"/>
      <c r="J27" s="283">
        <f>SUM(B27:I27)</f>
      </c>
      <c r="K27" s="1"/>
      <c r="L27" s="290"/>
      <c r="M27" s="287" t="s">
        <v>1536</v>
      </c>
      <c r="N27" s="287" t="s">
        <v>1537</v>
      </c>
      <c r="O27" s="287" t="s">
        <v>1538</v>
      </c>
      <c r="P27" s="278"/>
      <c r="Q27" s="2"/>
      <c r="R27" s="2"/>
    </row>
    <row r="28">
      <c r="A28" s="287" t="s">
        <v>1538</v>
      </c>
      <c r="B28" s="2"/>
      <c r="C28" s="2"/>
      <c r="D28" s="2"/>
      <c r="E28" s="2"/>
      <c r="F28" s="2"/>
      <c r="G28" s="21">
        <f>1</f>
      </c>
      <c r="H28" s="2"/>
      <c r="I28" s="2"/>
      <c r="J28" s="22">
        <f>SUM(B28:I28)</f>
      </c>
      <c r="K28" s="1"/>
      <c r="L28" s="284" t="n">
        <v>45.0</v>
      </c>
      <c r="M28" s="287" t="s">
        <v>117</v>
      </c>
      <c r="N28" s="2"/>
      <c r="O28" s="2"/>
      <c r="P28" s="289" t="n">
        <v>0.6</v>
      </c>
      <c r="Q28" s="2"/>
      <c r="R28" s="2"/>
    </row>
    <row r="29">
      <c r="A29" s="287" t="s">
        <v>1518</v>
      </c>
      <c r="B29" s="2"/>
      <c r="C29" s="2"/>
      <c r="D29" s="2"/>
      <c r="E29" s="2"/>
      <c r="F29" s="2"/>
      <c r="G29" s="204">
        <f>1</f>
      </c>
      <c r="H29" s="2"/>
      <c r="I29" s="2"/>
      <c r="J29" s="283">
        <f>SUM(B29:I29)</f>
      </c>
      <c r="K29" s="1"/>
      <c r="L29" s="284" t="n">
        <v>46.0</v>
      </c>
      <c r="M29" s="1" t="s">
        <v>565</v>
      </c>
      <c r="N29" s="2"/>
      <c r="O29" s="2"/>
      <c r="P29" s="289" t="n">
        <v>-0.2</v>
      </c>
      <c r="Q29" s="2"/>
      <c r="R29" s="2"/>
    </row>
    <row r="30">
      <c r="A30" s="287" t="s">
        <v>1521</v>
      </c>
      <c r="B30" s="2"/>
      <c r="C30" s="2"/>
      <c r="D30" s="2"/>
      <c r="E30" s="2"/>
      <c r="F30" s="2"/>
      <c r="G30" s="204">
        <f>1</f>
      </c>
      <c r="H30" s="2"/>
      <c r="I30" s="2"/>
      <c r="J30" s="283">
        <f>SUM(B30:I30)</f>
      </c>
      <c r="K30" s="1"/>
      <c r="L30" s="284" t="n">
        <v>47.0</v>
      </c>
      <c r="M30" s="287" t="s">
        <v>229</v>
      </c>
      <c r="N30" s="2"/>
      <c r="O30" s="2"/>
      <c r="P30" s="289" t="n">
        <v>-0.6</v>
      </c>
      <c r="Q30" s="2"/>
      <c r="R30" s="2"/>
    </row>
    <row r="31">
      <c r="A31" s="287" t="s">
        <v>1524</v>
      </c>
      <c r="B31" s="2"/>
      <c r="C31" s="2"/>
      <c r="D31" s="2"/>
      <c r="E31" s="2"/>
      <c r="F31" s="2"/>
      <c r="G31" s="204">
        <f>1</f>
      </c>
      <c r="H31" s="2"/>
      <c r="I31" s="2"/>
      <c r="J31" s="283">
        <f>SUM(B31:I31)</f>
      </c>
      <c r="K31" s="1"/>
      <c r="L31" s="291" t="n">
        <v>48.0</v>
      </c>
      <c r="M31" s="186" t="s">
        <v>167</v>
      </c>
      <c r="N31" s="280"/>
      <c r="O31" s="280"/>
      <c r="P31" s="292" t="n">
        <v>-4.6</v>
      </c>
      <c r="Q31" s="2"/>
      <c r="R31" s="2"/>
    </row>
    <row r="32">
      <c r="A32" s="287" t="s">
        <v>377</v>
      </c>
      <c r="B32" s="2"/>
      <c r="C32" s="2"/>
      <c r="D32" s="2"/>
      <c r="E32" s="2"/>
      <c r="F32" s="2"/>
      <c r="G32" s="204">
        <f>1</f>
      </c>
      <c r="H32" s="2"/>
      <c r="I32" s="2"/>
      <c r="J32" s="283">
        <f>SUM(B32:I32)</f>
      </c>
      <c r="K32" s="1"/>
      <c r="L32" s="2"/>
      <c r="M32" s="2"/>
      <c r="N32" s="2"/>
      <c r="O32" s="2"/>
      <c r="P32" s="278"/>
      <c r="Q32" s="2"/>
      <c r="R32" s="2"/>
    </row>
    <row r="33">
      <c r="A33" s="287" t="s">
        <v>1528</v>
      </c>
      <c r="B33" s="2"/>
      <c r="C33" s="2"/>
      <c r="D33" s="2"/>
      <c r="E33" s="2"/>
      <c r="F33" s="2"/>
      <c r="G33" s="204">
        <f>1</f>
      </c>
      <c r="H33" s="2"/>
      <c r="I33" s="2"/>
      <c r="J33" s="283">
        <f>SUM(B33:I33)</f>
      </c>
      <c r="K33" s="1"/>
      <c r="L33" s="2"/>
      <c r="M33" s="2"/>
      <c r="N33" s="2"/>
      <c r="O33" s="2"/>
      <c r="P33" s="278"/>
      <c r="Q33" s="2"/>
      <c r="R33" s="2"/>
    </row>
    <row r="34">
      <c r="A34" s="287" t="s">
        <v>1531</v>
      </c>
      <c r="B34" s="2"/>
      <c r="C34" s="2"/>
      <c r="D34" s="2"/>
      <c r="E34" s="2"/>
      <c r="F34" s="2"/>
      <c r="G34" s="204">
        <f>1</f>
      </c>
      <c r="H34" s="2"/>
      <c r="I34" s="2"/>
      <c r="J34" s="283">
        <f>SUM(B34:I34)</f>
      </c>
      <c r="K34" s="1"/>
      <c r="L34" s="2"/>
      <c r="M34" s="2"/>
      <c r="N34" s="2"/>
      <c r="O34" s="2"/>
      <c r="P34" s="2"/>
      <c r="Q34" s="2"/>
      <c r="R34" s="2"/>
    </row>
    <row r="35">
      <c r="A35" s="287" t="s">
        <v>1534</v>
      </c>
      <c r="B35" s="2"/>
      <c r="C35" s="2"/>
      <c r="D35" s="2"/>
      <c r="E35" s="2"/>
      <c r="F35" s="2"/>
      <c r="G35" s="204">
        <f>1</f>
      </c>
      <c r="H35" s="2"/>
      <c r="I35" s="2"/>
      <c r="J35" s="283">
        <f>SUM(B35:I35)</f>
      </c>
      <c r="K35" s="1"/>
      <c r="L35" s="2"/>
      <c r="M35" s="2"/>
      <c r="N35" s="2"/>
      <c r="O35" s="2"/>
      <c r="P35" s="2"/>
      <c r="Q35" s="2"/>
      <c r="R35" s="2"/>
    </row>
    <row r="36">
      <c r="A36" s="287" t="s">
        <v>1539</v>
      </c>
      <c r="B36" s="2"/>
      <c r="C36" s="2"/>
      <c r="D36" s="2"/>
      <c r="E36" s="2"/>
      <c r="F36" s="2"/>
      <c r="G36" s="21">
        <f>1</f>
      </c>
      <c r="H36" s="2"/>
      <c r="I36" s="2"/>
      <c r="J36" s="283">
        <f>SUM(B36:I36)</f>
      </c>
      <c r="K36" s="1"/>
      <c r="L36" s="2"/>
      <c r="M36" s="2"/>
      <c r="N36" s="2"/>
      <c r="O36" s="2"/>
      <c r="P36" s="2"/>
      <c r="Q36" s="2"/>
      <c r="R36" s="2"/>
    </row>
    <row r="37">
      <c r="A37" s="287" t="s">
        <v>1540</v>
      </c>
      <c r="B37" s="1"/>
      <c r="C37" s="1"/>
      <c r="D37" s="1"/>
      <c r="E37" s="1"/>
      <c r="F37" s="1"/>
      <c r="G37" s="204">
        <f>1</f>
      </c>
      <c r="H37" s="1"/>
      <c r="I37" s="1"/>
      <c r="J37" s="283">
        <f>SUM(B37:I37)</f>
      </c>
      <c r="K37" s="1"/>
      <c r="L37" s="1"/>
      <c r="M37" s="2"/>
      <c r="N37" s="1"/>
      <c r="O37" s="1"/>
      <c r="P37" s="1"/>
      <c r="Q37" s="1"/>
      <c r="R37" s="1"/>
    </row>
    <row r="38">
      <c r="A38" s="287" t="s">
        <v>1537</v>
      </c>
      <c r="B38" s="1"/>
      <c r="C38" s="1"/>
      <c r="D38" s="1"/>
      <c r="E38" s="1"/>
      <c r="F38" s="1"/>
      <c r="G38" s="204">
        <f>1</f>
      </c>
      <c r="H38" s="1"/>
      <c r="I38" s="1"/>
      <c r="J38" s="283">
        <f>SUM(B38:I38)</f>
      </c>
      <c r="K38" s="1"/>
      <c r="L38" s="1"/>
      <c r="M38" s="2"/>
      <c r="N38" s="1"/>
      <c r="O38" s="1"/>
      <c r="P38" s="1"/>
      <c r="Q38" s="1"/>
      <c r="R38" s="1"/>
    </row>
    <row r="39">
      <c r="A39" s="287" t="s">
        <v>1519</v>
      </c>
      <c r="B39" s="2"/>
      <c r="C39" s="2"/>
      <c r="D39" s="2"/>
      <c r="E39" s="2"/>
      <c r="F39" s="2"/>
      <c r="G39" s="204">
        <f>1</f>
      </c>
      <c r="H39" s="2"/>
      <c r="I39" s="2"/>
      <c r="J39" s="283">
        <f>SUM(B39:I39)</f>
      </c>
      <c r="K39" s="1"/>
      <c r="L39" s="2"/>
      <c r="M39" s="2"/>
      <c r="N39" s="2"/>
      <c r="O39" s="2"/>
      <c r="P39" s="2"/>
      <c r="Q39" s="2"/>
      <c r="R39" s="2"/>
    </row>
    <row r="40">
      <c r="A40" s="287" t="s">
        <v>1522</v>
      </c>
      <c r="B40" s="2"/>
      <c r="C40" s="2"/>
      <c r="D40" s="2"/>
      <c r="E40" s="2"/>
      <c r="F40" s="2"/>
      <c r="G40" s="204">
        <f>1</f>
      </c>
      <c r="H40" s="2"/>
      <c r="I40" s="2"/>
      <c r="J40" s="283">
        <f>SUM(B40:I40)</f>
      </c>
      <c r="K40" s="1"/>
      <c r="L40" s="2"/>
      <c r="M40" s="2"/>
      <c r="N40" s="288"/>
      <c r="O40" s="288"/>
      <c r="P40" s="293"/>
      <c r="Q40" s="2"/>
      <c r="R40" s="2"/>
    </row>
    <row r="41">
      <c r="A41" s="288" t="s">
        <v>1525</v>
      </c>
      <c r="B41" s="2"/>
      <c r="C41" s="2"/>
      <c r="D41" s="2"/>
      <c r="E41" s="2"/>
      <c r="F41" s="2"/>
      <c r="G41" s="204">
        <f>1</f>
      </c>
      <c r="H41" s="2"/>
      <c r="I41" s="2"/>
      <c r="J41" s="283">
        <f>SUM(B41:I41)</f>
      </c>
      <c r="K41" s="1"/>
      <c r="L41" s="2"/>
      <c r="M41" s="2"/>
      <c r="N41" s="288"/>
      <c r="O41" s="288"/>
      <c r="P41" s="293"/>
      <c r="Q41" s="2"/>
      <c r="R41" s="2"/>
    </row>
    <row r="42">
      <c r="A42" s="288" t="s">
        <v>1527</v>
      </c>
      <c r="B42" s="2"/>
      <c r="C42" s="2"/>
      <c r="D42" s="2"/>
      <c r="E42" s="2"/>
      <c r="F42" s="2"/>
      <c r="G42" s="204">
        <f>1</f>
      </c>
      <c r="H42" s="2"/>
      <c r="I42" s="2"/>
      <c r="J42" s="283">
        <f>SUM(B42:I42)</f>
      </c>
      <c r="K42" s="1"/>
      <c r="L42" s="2"/>
      <c r="M42" s="2"/>
      <c r="N42" s="288"/>
      <c r="O42" s="288"/>
      <c r="P42" s="293"/>
      <c r="Q42" s="2"/>
      <c r="R42" s="2"/>
    </row>
    <row r="43">
      <c r="A43" s="288" t="s">
        <v>1529</v>
      </c>
      <c r="B43" s="2"/>
      <c r="C43" s="2"/>
      <c r="D43" s="2"/>
      <c r="E43" s="2"/>
      <c r="F43" s="2"/>
      <c r="G43" s="204">
        <f>1</f>
      </c>
      <c r="H43" s="2"/>
      <c r="I43" s="2"/>
      <c r="J43" s="283">
        <f>SUM(B43:I43)</f>
      </c>
      <c r="K43" s="1"/>
      <c r="L43" s="2"/>
      <c r="M43" s="2"/>
      <c r="N43" s="288"/>
      <c r="O43" s="288"/>
      <c r="P43" s="293"/>
      <c r="Q43" s="2"/>
      <c r="R43" s="2"/>
    </row>
    <row r="44">
      <c r="A44" s="287" t="s">
        <v>1532</v>
      </c>
      <c r="B44" s="1"/>
      <c r="C44" s="1"/>
      <c r="D44" s="1"/>
      <c r="E44" s="1"/>
      <c r="F44" s="1"/>
      <c r="G44" s="204">
        <f>1</f>
      </c>
      <c r="H44" s="1"/>
      <c r="I44" s="1"/>
      <c r="J44" s="283">
        <f>SUM(B44:I44)</f>
      </c>
      <c r="L44" s="1"/>
      <c r="M44" s="2"/>
      <c r="N44" s="1"/>
      <c r="O44" s="1"/>
      <c r="P44" s="1"/>
      <c r="Q44" s="1"/>
      <c r="R44" s="1"/>
    </row>
    <row r="45">
      <c r="A45" s="2" t="s">
        <v>1535</v>
      </c>
      <c r="B45" s="2"/>
      <c r="C45" s="2"/>
      <c r="D45" s="2"/>
      <c r="E45" s="2"/>
      <c r="F45" s="2"/>
      <c r="G45" s="204">
        <f>1</f>
      </c>
      <c r="H45" s="2"/>
      <c r="I45" s="2"/>
      <c r="J45" s="283">
        <f>SUM(B45:I45)</f>
      </c>
      <c r="L45" s="2"/>
      <c r="M45" s="2"/>
      <c r="N45" s="2"/>
      <c r="O45" s="2"/>
      <c r="P45" s="2"/>
      <c r="Q45" s="2"/>
      <c r="R45" s="2"/>
    </row>
    <row r="46">
      <c r="A46" s="288" t="s">
        <v>117</v>
      </c>
      <c r="B46" s="2"/>
      <c r="C46" s="22">
        <f>2-1-1-0.2-0.2</f>
      </c>
      <c r="D46" s="2"/>
      <c r="E46" s="2"/>
      <c r="F46" s="2"/>
      <c r="G46" s="204">
        <f>1</f>
      </c>
      <c r="H46" s="2"/>
      <c r="I46" s="2"/>
      <c r="J46" s="283">
        <f>SUM(B46:I46)</f>
      </c>
      <c r="K46" s="1"/>
      <c r="L46" s="2"/>
      <c r="M46" s="287"/>
      <c r="N46" s="2"/>
      <c r="O46" s="2"/>
      <c r="P46" s="2"/>
      <c r="Q46" s="2"/>
      <c r="R46" s="2"/>
    </row>
    <row r="47">
      <c r="A47" s="2" t="s">
        <v>565</v>
      </c>
      <c r="B47" s="2"/>
      <c r="C47" s="22">
        <f>-0.2</f>
      </c>
      <c r="D47" s="2"/>
      <c r="E47" s="2"/>
      <c r="F47" s="2"/>
      <c r="G47" s="5"/>
      <c r="H47" s="2"/>
      <c r="I47" s="2"/>
      <c r="J47" s="283">
        <f>SUM(B47:I47)</f>
      </c>
      <c r="L47" s="2"/>
      <c r="M47" s="1"/>
      <c r="N47" s="2"/>
      <c r="O47" s="2"/>
      <c r="P47" s="2"/>
      <c r="Q47" s="2"/>
      <c r="R47" s="2"/>
    </row>
    <row r="48">
      <c r="A48" s="287" t="s">
        <v>229</v>
      </c>
      <c r="B48" s="1"/>
      <c r="C48" s="283">
        <f>-0.6</f>
      </c>
      <c r="D48" s="1"/>
      <c r="E48" s="1"/>
      <c r="F48" s="1"/>
      <c r="G48" s="5"/>
      <c r="H48" s="1"/>
      <c r="I48" s="1"/>
      <c r="J48" s="283">
        <f>SUM(B48:I48)</f>
      </c>
      <c r="K48" s="1"/>
      <c r="L48" s="2"/>
      <c r="M48" s="1"/>
      <c r="N48" s="2"/>
      <c r="O48" s="2"/>
      <c r="P48" s="2"/>
      <c r="Q48" s="2"/>
      <c r="R48" s="2"/>
    </row>
    <row r="49">
      <c r="A49" s="1" t="s">
        <v>167</v>
      </c>
      <c r="B49" s="283">
        <f>-1-0.2-1-0.2-1</f>
      </c>
      <c r="C49" s="283">
        <f>-0.2-1</f>
      </c>
      <c r="D49" s="1"/>
      <c r="E49" s="1"/>
      <c r="F49" s="1"/>
      <c r="G49" s="5"/>
      <c r="H49" s="1"/>
      <c r="I49" s="1"/>
      <c r="J49" s="283">
        <f>SUM(B49:I49)</f>
      </c>
      <c r="K49" s="1"/>
      <c r="L49" s="2"/>
      <c r="M49" s="287"/>
      <c r="N49" s="288"/>
      <c r="O49" s="288"/>
      <c r="P49" s="293"/>
      <c r="Q49" s="2"/>
      <c r="R49" s="2"/>
    </row>
    <row r="50">
      <c r="A50" s="2"/>
      <c r="B50" s="2"/>
      <c r="C50" s="2"/>
      <c r="D50" s="2"/>
      <c r="E50" s="2"/>
      <c r="F50" s="2"/>
      <c r="G50" s="2"/>
      <c r="H50" s="2"/>
      <c r="I50" s="2"/>
      <c r="J50" s="2"/>
    </row>
    <row r="51">
      <c r="A51" s="287"/>
      <c r="G51" s="15"/>
    </row>
    <row r="52">
      <c r="A52" s="287"/>
      <c r="G52" s="15"/>
    </row>
    <row r="53">
      <c r="G53" s="15"/>
    </row>
    <row r="54">
      <c r="G54" s="15"/>
    </row>
    <row r="55">
      <c r="G55" s="15"/>
    </row>
    <row r="56">
      <c r="G56" s="15"/>
    </row>
    <row r="57">
      <c r="G57" s="15"/>
    </row>
    <row r="58">
      <c r="G58" s="15"/>
    </row>
    <row r="59">
      <c r="G59" s="15"/>
    </row>
    <row r="60">
      <c r="G60" s="15"/>
    </row>
    <row r="61">
      <c r="G61" s="15"/>
    </row>
    <row r="62">
      <c r="G62" s="15"/>
    </row>
    <row r="63">
      <c r="G63" s="15"/>
    </row>
    <row r="64">
      <c r="G64" s="15"/>
    </row>
    <row r="65">
      <c r="G65" s="15"/>
    </row>
    <row r="66">
      <c r="G66" s="15"/>
    </row>
    <row r="67">
      <c r="G67" s="15"/>
    </row>
    <row r="68">
      <c r="G68" s="15"/>
    </row>
    <row r="69">
      <c r="G69" s="15"/>
    </row>
    <row r="70">
      <c r="G70" s="15"/>
    </row>
    <row r="71">
      <c r="G71" s="15"/>
    </row>
    <row r="72">
      <c r="G72" s="15"/>
    </row>
    <row r="73">
      <c r="G73" s="15"/>
    </row>
    <row r="74">
      <c r="G74" s="15"/>
    </row>
    <row r="75">
      <c r="G75" s="15"/>
    </row>
    <row r="76">
      <c r="G76" s="15"/>
    </row>
    <row r="77">
      <c r="G77" s="15"/>
    </row>
    <row r="78">
      <c r="G78" s="15"/>
    </row>
    <row r="79">
      <c r="G79" s="15"/>
    </row>
    <row r="80">
      <c r="G80" s="15"/>
    </row>
    <row r="81">
      <c r="G81" s="15"/>
    </row>
    <row r="82">
      <c r="G82" s="15"/>
    </row>
    <row r="83">
      <c r="G83" s="15"/>
    </row>
    <row r="84">
      <c r="G84" s="15"/>
    </row>
    <row r="85">
      <c r="G85" s="15"/>
    </row>
    <row r="86">
      <c r="G86" s="15"/>
    </row>
    <row r="87">
      <c r="G87" s="15"/>
    </row>
    <row r="88">
      <c r="G88" s="15"/>
    </row>
    <row r="89">
      <c r="G89" s="15"/>
    </row>
    <row r="90">
      <c r="G90" s="15"/>
    </row>
    <row r="91">
      <c r="G91" s="15"/>
    </row>
    <row r="92">
      <c r="G92" s="15"/>
    </row>
    <row r="93">
      <c r="G93" s="15"/>
    </row>
    <row r="94">
      <c r="G94" s="15"/>
    </row>
    <row r="95">
      <c r="G95" s="15"/>
    </row>
    <row r="96">
      <c r="G96" s="15"/>
    </row>
    <row r="97">
      <c r="G97" s="15"/>
    </row>
    <row r="98">
      <c r="G98" s="15"/>
    </row>
    <row r="99">
      <c r="G99" s="15"/>
    </row>
    <row r="100">
      <c r="G100" s="15"/>
    </row>
    <row r="101">
      <c r="G101" s="15"/>
    </row>
    <row r="102">
      <c r="G102" s="15"/>
    </row>
    <row r="103">
      <c r="G103" s="15"/>
    </row>
    <row r="104">
      <c r="G104" s="15"/>
    </row>
    <row r="105">
      <c r="G105" s="15"/>
    </row>
    <row r="106">
      <c r="G106" s="15"/>
    </row>
    <row r="107">
      <c r="G107" s="15"/>
    </row>
    <row r="108">
      <c r="G108" s="15"/>
    </row>
    <row r="109">
      <c r="G109" s="15"/>
    </row>
    <row r="110">
      <c r="G110" s="15"/>
    </row>
    <row r="111">
      <c r="G111" s="15"/>
    </row>
    <row r="112">
      <c r="G112" s="15"/>
    </row>
    <row r="113">
      <c r="G113" s="15"/>
    </row>
    <row r="114">
      <c r="G114" s="15"/>
    </row>
    <row r="115">
      <c r="G115" s="15"/>
    </row>
    <row r="116">
      <c r="G116" s="15"/>
    </row>
    <row r="117">
      <c r="G117" s="15"/>
    </row>
    <row r="118">
      <c r="G118" s="15"/>
    </row>
    <row r="119">
      <c r="G119" s="15"/>
    </row>
    <row r="120">
      <c r="G120" s="15"/>
    </row>
    <row r="121">
      <c r="G121" s="15"/>
    </row>
    <row r="122">
      <c r="G122" s="15"/>
    </row>
    <row r="123">
      <c r="G123" s="15"/>
    </row>
    <row r="124">
      <c r="G124" s="15"/>
    </row>
    <row r="125">
      <c r="G125" s="15"/>
    </row>
    <row r="126">
      <c r="G126" s="15"/>
    </row>
    <row r="127">
      <c r="G127" s="15"/>
    </row>
    <row r="128">
      <c r="G128" s="15"/>
    </row>
    <row r="129">
      <c r="G129" s="15"/>
    </row>
    <row r="130">
      <c r="G130" s="15"/>
    </row>
    <row r="131">
      <c r="G131" s="15"/>
    </row>
    <row r="132">
      <c r="G132" s="15"/>
    </row>
    <row r="133">
      <c r="G133" s="15"/>
    </row>
    <row r="134">
      <c r="G134" s="15"/>
    </row>
    <row r="135">
      <c r="G135" s="15"/>
    </row>
    <row r="136">
      <c r="G136" s="15"/>
    </row>
    <row r="137">
      <c r="G137" s="15"/>
    </row>
    <row r="138">
      <c r="G138" s="15"/>
    </row>
    <row r="139">
      <c r="G139" s="15"/>
    </row>
    <row r="140">
      <c r="G140" s="15"/>
    </row>
    <row r="141">
      <c r="G141" s="15"/>
    </row>
    <row r="142">
      <c r="G142" s="15"/>
    </row>
    <row r="143">
      <c r="G143" s="15"/>
    </row>
    <row r="144">
      <c r="G144" s="15"/>
    </row>
    <row r="145">
      <c r="G145" s="15"/>
    </row>
    <row r="146">
      <c r="G146" s="15"/>
    </row>
    <row r="147">
      <c r="G147" s="15"/>
    </row>
    <row r="148">
      <c r="G148" s="15"/>
    </row>
    <row r="149">
      <c r="G149" s="15"/>
    </row>
    <row r="150">
      <c r="G150" s="15"/>
    </row>
    <row r="151">
      <c r="G151" s="15"/>
    </row>
    <row r="152">
      <c r="G152" s="15"/>
    </row>
    <row r="153">
      <c r="G153" s="15"/>
    </row>
    <row r="154">
      <c r="G154" s="15"/>
    </row>
    <row r="155">
      <c r="G155" s="15"/>
    </row>
    <row r="156">
      <c r="G156" s="15"/>
    </row>
    <row r="157">
      <c r="G157" s="15"/>
    </row>
    <row r="158">
      <c r="G158" s="15"/>
    </row>
    <row r="159">
      <c r="G159" s="15"/>
    </row>
    <row r="160">
      <c r="G160" s="15"/>
    </row>
    <row r="161">
      <c r="G161" s="15"/>
    </row>
    <row r="162">
      <c r="G162" s="15"/>
    </row>
    <row r="163">
      <c r="G163" s="15"/>
    </row>
    <row r="164">
      <c r="G164" s="15"/>
    </row>
    <row r="165">
      <c r="G165" s="15"/>
    </row>
    <row r="166">
      <c r="G166" s="15"/>
    </row>
    <row r="167">
      <c r="G167" s="15"/>
    </row>
    <row r="168">
      <c r="G168" s="15"/>
    </row>
    <row r="169">
      <c r="G169" s="15"/>
    </row>
    <row r="170">
      <c r="G170" s="15"/>
    </row>
    <row r="171">
      <c r="G171" s="15"/>
    </row>
    <row r="172">
      <c r="G172" s="15"/>
    </row>
    <row r="173">
      <c r="G173" s="15"/>
    </row>
    <row r="174">
      <c r="G174" s="15"/>
    </row>
    <row r="175">
      <c r="G175" s="15"/>
    </row>
    <row r="176">
      <c r="G176" s="15"/>
    </row>
    <row r="177">
      <c r="G177" s="15"/>
    </row>
    <row r="178">
      <c r="G178" s="15"/>
    </row>
    <row r="179">
      <c r="G179" s="15"/>
    </row>
    <row r="180">
      <c r="G180" s="15"/>
    </row>
    <row r="181">
      <c r="G181" s="15"/>
    </row>
    <row r="182">
      <c r="G182" s="15"/>
    </row>
    <row r="183">
      <c r="G183" s="15"/>
    </row>
    <row r="184">
      <c r="G184" s="15"/>
    </row>
    <row r="185">
      <c r="G185" s="15"/>
    </row>
    <row r="186">
      <c r="G186" s="15"/>
    </row>
    <row r="187">
      <c r="G187" s="15"/>
    </row>
    <row r="188">
      <c r="G188" s="15"/>
    </row>
    <row r="189">
      <c r="G189" s="15"/>
    </row>
    <row r="190">
      <c r="G190" s="15"/>
    </row>
    <row r="191">
      <c r="G191" s="15"/>
    </row>
    <row r="192">
      <c r="G192" s="15"/>
    </row>
    <row r="193">
      <c r="G193" s="15"/>
    </row>
    <row r="194">
      <c r="G194" s="15"/>
    </row>
    <row r="195">
      <c r="G195" s="15"/>
    </row>
    <row r="196">
      <c r="G196" s="15"/>
    </row>
    <row r="197">
      <c r="G197" s="15"/>
    </row>
    <row r="198">
      <c r="G198" s="15"/>
    </row>
    <row r="199">
      <c r="G199" s="15"/>
    </row>
    <row r="200">
      <c r="G200" s="15"/>
    </row>
    <row r="201">
      <c r="G201" s="15"/>
    </row>
    <row r="202">
      <c r="G202" s="15"/>
    </row>
    <row r="203">
      <c r="G203" s="15"/>
    </row>
    <row r="204">
      <c r="G204" s="15"/>
    </row>
  </sheetData>
  <mergeCells>
    <mergeCell ref="M1:O1"/>
    <mergeCell ref="L20:L27"/>
    <mergeCell ref="P20:P27"/>
  </mergeCells>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6.0" baseColWidth="10"/>
  <cols>
    <col min="1" max="1" width="10.833333333333334" customWidth="true"/>
    <col min="2" max="2" width="10.833333333333334" customWidth="true"/>
    <col min="3" max="3" width="10.833333333333334" customWidth="true"/>
    <col min="4" max="4" width="10.833333333333334" customWidth="true"/>
    <col min="5" max="5" width="10.833333333333334" customWidth="true"/>
    <col min="6" max="6" width="10.833333333333334" customWidth="true"/>
    <col min="7" max="17" width="10.833333333333334" customWidth="true"/>
  </cols>
  <sheetData>
    <row r="1">
      <c r="A1" s="31"/>
      <c r="B1" s="2" t="s">
        <v>1541</v>
      </c>
      <c r="C1" s="2" t="s">
        <v>1542</v>
      </c>
      <c r="D1" s="2" t="s">
        <v>1543</v>
      </c>
      <c r="E1" s="2" t="s">
        <v>1544</v>
      </c>
      <c r="F1" s="2" t="s">
        <v>1508</v>
      </c>
    </row>
    <row r="2">
      <c r="A2" s="2" t="s">
        <v>1512</v>
      </c>
      <c r="B2" s="22" t="n">
        <v>10.67</v>
      </c>
      <c r="C2" s="22" t="n">
        <v>1.67</v>
      </c>
      <c r="D2" s="22" t="n">
        <v>8.0</v>
      </c>
      <c r="E2" s="22" t="n">
        <v>4.33</v>
      </c>
      <c r="F2" s="22">
        <f>SUM(B2:E2)</f>
      </c>
    </row>
    <row r="3">
      <c r="A3" s="2" t="s">
        <v>1514</v>
      </c>
      <c r="B3" s="22" t="n">
        <v>10.67</v>
      </c>
      <c r="C3" s="22" t="n">
        <v>1.67</v>
      </c>
      <c r="D3" s="22" t="n">
        <v>8.0</v>
      </c>
      <c r="E3" s="22" t="n">
        <v>4.33</v>
      </c>
      <c r="F3" s="22">
        <f>SUM(B3:E3)</f>
      </c>
    </row>
    <row r="4">
      <c r="A4" s="2" t="s">
        <v>31</v>
      </c>
      <c r="B4" s="22" t="n">
        <v>12.0</v>
      </c>
      <c r="C4" s="22" t="n">
        <v>1.33</v>
      </c>
      <c r="D4" s="22" t="n">
        <v>8.0</v>
      </c>
      <c r="E4" s="22" t="n">
        <v>3.33</v>
      </c>
      <c r="F4" s="22">
        <f>SUM(B4:E4)</f>
      </c>
    </row>
    <row r="5">
      <c r="A5" s="2" t="s">
        <v>1513</v>
      </c>
      <c r="B5" s="22" t="n">
        <v>12.0</v>
      </c>
      <c r="C5" s="22" t="n">
        <v>1.33</v>
      </c>
      <c r="D5" s="22" t="n">
        <v>8.0</v>
      </c>
      <c r="E5" s="22" t="n">
        <v>3.33</v>
      </c>
      <c r="F5" s="22">
        <f>SUM(B5:E5)</f>
      </c>
    </row>
    <row r="6">
      <c r="A6" s="2" t="s">
        <v>34</v>
      </c>
      <c r="B6" s="22" t="n">
        <v>12.0</v>
      </c>
      <c r="C6" s="22" t="n">
        <v>1.33</v>
      </c>
      <c r="D6" s="22" t="n">
        <v>8.0</v>
      </c>
      <c r="E6" s="22" t="n">
        <v>3.33</v>
      </c>
      <c r="F6" s="22">
        <f>SUM(B6:E6)</f>
      </c>
    </row>
    <row r="7">
      <c r="A7" s="2" t="s">
        <v>36</v>
      </c>
      <c r="B7" s="22" t="n">
        <v>11.33</v>
      </c>
      <c r="C7" s="22" t="n">
        <v>1.67</v>
      </c>
      <c r="D7" s="22" t="n">
        <v>9.33</v>
      </c>
      <c r="E7" s="22" t="n">
        <v>4.33</v>
      </c>
      <c r="F7" s="22">
        <f>SUM(B7:E7)</f>
      </c>
    </row>
    <row r="8">
</row>
    <row r="9">
</row>
    <row r="10">
</row>
    <row r="11">
</row>
    <row r="12">
</row>
    <row r="13">
</row>
    <row r="14">
</row>
    <row r="15">
</row>
    <row r="16">
</row>
    <row r="17">
</row>
    <row r="18">
</row>
    <row r="19">
</row>
    <row r="20">
</row>
    <row r="21">
</row>
    <row r="22">
</row>
    <row r="23">
</row>
    <row r="24">
</row>
    <row r="25">
</row>
    <row r="26">
</row>
    <row r="27">
</row>
    <row r="28">
</row>
    <row r="29">
</row>
    <row r="30">
</row>
    <row r="31">
</row>
    <row r="32">
</row>
    <row r="33">
</row>
    <row r="34">
</row>
    <row r="35">
</row>
    <row r="36">
</row>
    <row r="37">
</row>
    <row r="38">
</row>
    <row r="39">
</row>
    <row r="40">
</row>
    <row r="41">
</row>
    <row r="42">
</row>
    <row r="43">
</row>
    <row r="44">
</row>
    <row r="45">
</row>
    <row r="46">
</row>
    <row r="47">
</row>
    <row r="48">
</row>
    <row r="49">
</row>
    <row r="50">
</row>
    <row r="51">
</row>
    <row r="52">
</row>
    <row r="53">
</row>
    <row r="54">
</row>
    <row r="55">
</row>
    <row r="56">
</row>
    <row r="57">
</row>
    <row r="58">
</row>
    <row r="59">
</row>
    <row r="60">
</row>
    <row r="61">
</row>
    <row r="62">
</row>
    <row r="63">
</row>
    <row r="64">
</row>
    <row r="65">
</row>
    <row r="66">
</row>
    <row r="67">
</row>
    <row r="68">
</row>
    <row r="69">
</row>
    <row r="70">
</row>
    <row r="71">
</row>
    <row r="72">
</row>
    <row r="73">
</row>
    <row r="74">
</row>
    <row r="75">
</row>
    <row r="76">
</row>
    <row r="77">
</row>
    <row r="78">
</row>
    <row r="79">
</row>
    <row r="80">
</row>
    <row r="81">
</row>
    <row r="82">
</row>
    <row r="83">
</row>
    <row r="84">
</row>
    <row r="85">
</row>
    <row r="86">
</row>
    <row r="87">
</row>
    <row r="88">
</row>
    <row r="89">
</row>
    <row r="90">
</row>
    <row r="91">
</row>
    <row r="92">
</row>
    <row r="93">
</row>
    <row r="94">
</row>
    <row r="95">
</row>
    <row r="96">
</row>
    <row r="97">
</row>
    <row r="98">
</row>
    <row r="99">
</row>
    <row r="100">
</row>
    <row r="101">
</row>
    <row r="102">
</row>
    <row r="103">
</row>
    <row r="104">
</row>
    <row r="105">
</row>
    <row r="106">
</row>
    <row r="107">
</row>
    <row r="108">
</row>
    <row r="109">
</row>
    <row r="110">
</row>
    <row r="111">
</row>
    <row r="112">
</row>
    <row r="113">
</row>
    <row r="114">
</row>
    <row r="115">
</row>
    <row r="116">
</row>
    <row r="117">
</row>
    <row r="118">
</row>
    <row r="119">
</row>
    <row r="120">
</row>
    <row r="121">
</row>
    <row r="122">
</row>
    <row r="123">
</row>
    <row r="124">
</row>
    <row r="125">
</row>
    <row r="126">
</row>
    <row r="127">
</row>
    <row r="128">
</row>
    <row r="129">
</row>
    <row r="130">
</row>
    <row r="131">
</row>
    <row r="132">
</row>
    <row r="133">
</row>
    <row r="134">
</row>
    <row r="135">
</row>
    <row r="136">
</row>
    <row r="137">
</row>
    <row r="138">
</row>
    <row r="139">
</row>
    <row r="140">
</row>
    <row r="141">
</row>
    <row r="142">
</row>
    <row r="143">
</row>
    <row r="144">
</row>
    <row r="145">
</row>
    <row r="146">
</row>
    <row r="147">
</row>
    <row r="148">
</row>
    <row r="149">
</row>
    <row r="150">
</row>
    <row r="151">
</row>
    <row r="152">
</row>
    <row r="153">
</row>
    <row r="154">
</row>
    <row r="155">
</row>
    <row r="156">
</row>
    <row r="157">
</row>
    <row r="158">
</row>
    <row r="159">
</row>
    <row r="160">
</row>
    <row r="161">
</row>
    <row r="162">
</row>
    <row r="163">
</row>
    <row r="164">
</row>
    <row r="165">
</row>
    <row r="166">
</row>
    <row r="167">
</row>
    <row r="168">
</row>
    <row r="169">
</row>
    <row r="170">
</row>
    <row r="171">
</row>
    <row r="172">
</row>
    <row r="173">
</row>
    <row r="174">
</row>
    <row r="175">
</row>
    <row r="176">
</row>
    <row r="177">
</row>
    <row r="178">
</row>
    <row r="179">
</row>
    <row r="180">
</row>
    <row r="181">
</row>
    <row r="182">
</row>
    <row r="183">
</row>
    <row r="184">
</row>
    <row r="185">
</row>
    <row r="186">
</row>
    <row r="187">
</row>
    <row r="188">
</row>
    <row r="189">
</row>
    <row r="190">
</row>
    <row r="191">
</row>
    <row r="192">
</row>
    <row r="193">
</row>
    <row r="194">
</row>
    <row r="195">
</row>
    <row r="196">
</row>
    <row r="197">
</row>
    <row r="198">
</row>
    <row r="199">
</row>
    <row r="200">
</row>
    <row r="201">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6.0" baseColWidth="10"/>
  <cols>
    <col min="1" max="18" width="10.833333333333334" customWidth="true"/>
  </cols>
  <sheetData>
    <row r="1">
</row>
    <row r="2">
</row>
    <row r="3">
</row>
    <row r="4">
</row>
    <row r="5">
</row>
    <row r="6">
</row>
    <row r="7">
</row>
    <row r="8">
</row>
    <row r="9">
</row>
    <row r="10">
</row>
    <row r="11">
</row>
    <row r="12">
</row>
    <row r="13">
</row>
    <row r="14">
</row>
    <row r="15">
</row>
    <row r="16">
</row>
    <row r="17">
</row>
    <row r="18">
</row>
    <row r="19">
</row>
    <row r="20">
</row>
    <row r="21">
</row>
    <row r="22">
</row>
    <row r="23">
</row>
    <row r="24">
</row>
    <row r="25">
</row>
    <row r="26">
</row>
    <row r="27">
</row>
    <row r="28">
</row>
    <row r="29">
</row>
    <row r="30">
</row>
    <row r="31">
</row>
    <row r="32">
</row>
    <row r="33">
</row>
    <row r="34">
</row>
    <row r="35">
</row>
    <row r="36">
</row>
    <row r="37">
</row>
    <row r="38">
</row>
    <row r="39">
</row>
    <row r="40">
</row>
    <row r="41">
</row>
    <row r="42">
</row>
    <row r="43">
</row>
    <row r="44">
</row>
    <row r="45">
</row>
    <row r="46">
</row>
    <row r="47">
</row>
    <row r="48">
</row>
    <row r="49">
</row>
    <row r="50">
</row>
    <row r="51">
</row>
    <row r="52">
</row>
    <row r="53">
</row>
    <row r="54">
</row>
    <row r="55">
</row>
    <row r="56">
</row>
    <row r="57">
</row>
    <row r="58">
</row>
    <row r="59">
</row>
    <row r="60">
</row>
    <row r="61">
</row>
    <row r="62">
</row>
    <row r="63">
</row>
    <row r="64">
</row>
    <row r="65">
</row>
    <row r="66">
</row>
    <row r="67">
</row>
    <row r="68">
</row>
    <row r="69">
</row>
    <row r="70">
</row>
    <row r="71">
</row>
    <row r="72">
</row>
    <row r="73">
</row>
    <row r="74">
</row>
    <row r="75">
</row>
    <row r="76">
</row>
    <row r="77">
</row>
    <row r="78">
</row>
    <row r="79">
</row>
    <row r="80">
</row>
    <row r="81">
</row>
    <row r="82">
</row>
    <row r="83">
</row>
    <row r="84">
</row>
    <row r="85">
</row>
    <row r="86">
</row>
    <row r="87">
</row>
    <row r="88">
</row>
    <row r="89">
</row>
    <row r="90">
</row>
    <row r="91">
</row>
    <row r="92">
</row>
    <row r="93">
</row>
    <row r="94">
</row>
    <row r="95">
</row>
    <row r="96">
</row>
    <row r="97">
</row>
    <row r="98">
</row>
    <row r="99">
</row>
    <row r="100">
</row>
    <row r="101">
</row>
    <row r="102">
</row>
    <row r="103">
</row>
    <row r="104">
</row>
    <row r="105">
</row>
    <row r="106">
</row>
    <row r="107">
</row>
    <row r="108">
</row>
    <row r="109">
</row>
    <row r="110">
</row>
    <row r="111">
</row>
    <row r="112">
</row>
    <row r="113">
</row>
    <row r="114">
</row>
    <row r="115">
</row>
    <row r="116">
</row>
    <row r="117">
</row>
    <row r="118">
</row>
    <row r="119">
</row>
    <row r="120">
</row>
    <row r="121">
</row>
    <row r="122">
</row>
    <row r="123">
</row>
    <row r="124">
</row>
    <row r="125">
</row>
    <row r="126">
</row>
    <row r="127">
</row>
    <row r="128">
</row>
    <row r="129">
</row>
    <row r="130">
</row>
    <row r="131">
</row>
    <row r="132">
</row>
    <row r="133">
</row>
    <row r="134">
</row>
    <row r="135">
</row>
    <row r="136">
</row>
    <row r="137">
</row>
    <row r="138">
</row>
    <row r="139">
</row>
    <row r="140">
</row>
    <row r="141">
</row>
    <row r="142">
</row>
    <row r="143">
</row>
    <row r="144">
</row>
    <row r="145">
</row>
    <row r="146">
</row>
    <row r="147">
</row>
    <row r="148">
</row>
    <row r="149">
</row>
    <row r="150">
</row>
    <row r="151">
</row>
    <row r="152">
</row>
    <row r="153">
</row>
    <row r="154">
</row>
    <row r="155">
</row>
    <row r="156">
</row>
    <row r="157">
</row>
    <row r="158">
</row>
    <row r="159">
</row>
    <row r="160">
</row>
    <row r="161">
</row>
    <row r="162">
</row>
    <row r="163">
</row>
    <row r="164">
</row>
    <row r="165">
</row>
    <row r="166">
</row>
    <row r="167">
</row>
    <row r="168">
</row>
    <row r="169">
</row>
    <row r="170">
</row>
    <row r="171">
</row>
    <row r="172">
</row>
    <row r="173">
</row>
    <row r="174">
</row>
    <row r="175">
</row>
    <row r="176">
</row>
    <row r="177">
</row>
    <row r="178">
</row>
    <row r="179">
</row>
    <row r="180">
</row>
    <row r="181">
</row>
    <row r="182">
</row>
    <row r="183">
</row>
    <row r="184">
</row>
    <row r="185">
</row>
    <row r="186">
</row>
    <row r="187">
</row>
    <row r="188">
</row>
    <row r="189">
</row>
    <row r="190">
</row>
    <row r="191">
</row>
    <row r="192">
</row>
    <row r="193">
</row>
    <row r="194">
</row>
    <row r="195">
</row>
    <row r="196">
</row>
    <row r="197">
</row>
    <row r="198">
</row>
    <row r="199">
</row>
    <row r="200">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6.0" baseColWidth="10"/>
  <cols>
    <col min="1" max="18" width="10.833333333333334" customWidth="true"/>
  </cols>
  <sheetData>
    <row r="1">
</row>
    <row r="2">
</row>
    <row r="3">
</row>
    <row r="4">
</row>
    <row r="5">
</row>
    <row r="6">
</row>
    <row r="7">
</row>
    <row r="8">
</row>
    <row r="9">
</row>
    <row r="10">
</row>
    <row r="11">
</row>
    <row r="12">
</row>
    <row r="13">
</row>
    <row r="14">
</row>
    <row r="15">
</row>
    <row r="16">
</row>
    <row r="17">
</row>
    <row r="18">
</row>
    <row r="19">
</row>
    <row r="20">
</row>
    <row r="21">
</row>
    <row r="22">
</row>
    <row r="23">
</row>
    <row r="24">
</row>
    <row r="25">
</row>
    <row r="26">
</row>
    <row r="27">
</row>
    <row r="28">
</row>
    <row r="29">
</row>
    <row r="30">
</row>
    <row r="31">
</row>
    <row r="32">
</row>
    <row r="33">
</row>
    <row r="34">
</row>
    <row r="35">
</row>
    <row r="36">
</row>
    <row r="37">
</row>
    <row r="38">
</row>
    <row r="39">
</row>
    <row r="40">
</row>
    <row r="41">
</row>
    <row r="42">
</row>
    <row r="43">
</row>
    <row r="44">
</row>
    <row r="45">
</row>
    <row r="46">
</row>
    <row r="47">
</row>
    <row r="48">
</row>
    <row r="49">
</row>
    <row r="50">
</row>
    <row r="51">
</row>
    <row r="52">
</row>
    <row r="53">
</row>
    <row r="54">
</row>
    <row r="55">
</row>
    <row r="56">
</row>
    <row r="57">
</row>
    <row r="58">
</row>
    <row r="59">
</row>
    <row r="60">
</row>
    <row r="61">
</row>
    <row r="62">
</row>
    <row r="63">
</row>
    <row r="64">
</row>
    <row r="65">
</row>
    <row r="66">
</row>
    <row r="67">
</row>
    <row r="68">
</row>
    <row r="69">
</row>
    <row r="70">
</row>
    <row r="71">
</row>
    <row r="72">
</row>
    <row r="73">
</row>
    <row r="74">
</row>
    <row r="75">
</row>
    <row r="76">
</row>
    <row r="77">
</row>
    <row r="78">
</row>
    <row r="79">
</row>
    <row r="80">
</row>
    <row r="81">
</row>
    <row r="82">
</row>
    <row r="83">
</row>
    <row r="84">
</row>
    <row r="85">
</row>
    <row r="86">
</row>
    <row r="87">
</row>
    <row r="88">
</row>
    <row r="89">
</row>
    <row r="90">
</row>
    <row r="91">
</row>
    <row r="92">
</row>
    <row r="93">
</row>
    <row r="94">
</row>
    <row r="95">
</row>
    <row r="96">
</row>
    <row r="97">
</row>
    <row r="98">
</row>
    <row r="99">
</row>
    <row r="100">
</row>
    <row r="101">
</row>
    <row r="102">
</row>
    <row r="103">
</row>
    <row r="104">
</row>
    <row r="105">
</row>
    <row r="106">
</row>
    <row r="107">
</row>
    <row r="108">
</row>
    <row r="109">
</row>
    <row r="110">
</row>
    <row r="111">
</row>
    <row r="112">
</row>
    <row r="113">
</row>
    <row r="114">
</row>
    <row r="115">
</row>
    <row r="116">
</row>
    <row r="117">
</row>
    <row r="118">
</row>
    <row r="119">
</row>
    <row r="120">
</row>
    <row r="121">
</row>
    <row r="122">
</row>
    <row r="123">
</row>
    <row r="124">
</row>
    <row r="125">
</row>
    <row r="126">
</row>
    <row r="127">
</row>
    <row r="128">
</row>
    <row r="129">
</row>
    <row r="130">
</row>
    <row r="131">
</row>
    <row r="132">
</row>
    <row r="133">
</row>
    <row r="134">
</row>
    <row r="135">
</row>
    <row r="136">
</row>
    <row r="137">
</row>
    <row r="138">
</row>
    <row r="139">
</row>
    <row r="140">
</row>
    <row r="141">
</row>
    <row r="142">
</row>
    <row r="143">
</row>
    <row r="144">
</row>
    <row r="145">
</row>
    <row r="146">
</row>
    <row r="147">
</row>
    <row r="148">
</row>
    <row r="149">
</row>
    <row r="150">
</row>
    <row r="151">
</row>
    <row r="152">
</row>
    <row r="153">
</row>
    <row r="154">
</row>
    <row r="155">
</row>
    <row r="156">
</row>
    <row r="157">
</row>
    <row r="158">
</row>
    <row r="159">
</row>
    <row r="160">
</row>
    <row r="161">
</row>
    <row r="162">
</row>
    <row r="163">
</row>
    <row r="164">
</row>
    <row r="165">
</row>
    <row r="166">
</row>
    <row r="167">
</row>
    <row r="168">
</row>
    <row r="169">
</row>
    <row r="170">
</row>
    <row r="171">
</row>
    <row r="172">
</row>
    <row r="173">
</row>
    <row r="174">
</row>
    <row r="175">
</row>
    <row r="176">
</row>
    <row r="177">
</row>
    <row r="178">
</row>
    <row r="179">
</row>
    <row r="180">
</row>
    <row r="181">
</row>
    <row r="182">
</row>
    <row r="183">
</row>
    <row r="184">
</row>
    <row r="185">
</row>
    <row r="186">
</row>
    <row r="187">
</row>
    <row r="188">
</row>
    <row r="189">
</row>
    <row r="190">
</row>
    <row r="191">
</row>
    <row r="192">
</row>
    <row r="193">
</row>
    <row r="194">
</row>
    <row r="195">
</row>
    <row r="196">
</row>
    <row r="197">
</row>
    <row r="198">
</row>
    <row r="199">
</row>
    <row r="200">
</row>
  </sheetData>
  <pageMargins bottom="0.75" footer="0.3" header="0.3" left="0.7" right="0.7" top="0.75"/>
</worksheet>
</file>

<file path=docProps/app.xml><?xml version="1.0" encoding="utf-8"?>
<Properties xmlns="http://schemas.openxmlformats.org/officeDocument/2006/extended-properties">
  <Application>Shimo.im</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2020-08-31T02:21:08Z</dcterms:created>
  <dc:creator>Shimo.im</dc:creator>
</cp:coreProperties>
</file>